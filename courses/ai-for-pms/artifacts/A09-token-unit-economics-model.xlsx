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Convers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&quot;x&quot;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B4F8F"/>
      </patternFill>
    </fill>
    <fill>
      <patternFill patternType="solid">
        <fgColor rgb="00FFF8D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3" fontId="3" fillId="0" borderId="0" pivotButton="0" quotePrefix="0" xfId="0"/>
    <xf numFmtId="9" fontId="0" fillId="0" borderId="0" pivotButton="0" quotePrefix="0" xfId="0"/>
    <xf numFmtId="166" fontId="0" fillId="4" borderId="1" pivotButton="0" quotePrefix="0" xfId="0"/>
    <xf numFmtId="3" fontId="0" fillId="0" borderId="1" pivotButton="0" quotePrefix="0" xfId="0"/>
    <xf numFmtId="0" fontId="0" fillId="0" borderId="0" applyAlignment="1" pivotButton="0" quotePrefix="0" xfId="0">
      <alignment wrapText="1"/>
    </xf>
    <xf numFmtId="3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bgColor rgb="00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24" customWidth="1" min="3" max="3"/>
    <col width="48" customWidth="1" min="4" max="4"/>
  </cols>
  <sheetData>
    <row r="1">
      <c r="A1" s="1" t="inlineStr">
        <is>
          <t>Token unit-economics model</t>
        </is>
      </c>
    </row>
    <row r="2">
      <c r="A2" t="inlineStr">
        <is>
          <t>Fill the yellow cells. Label every input Measured or Estimated. Nothing is pre-filled.</t>
        </is>
      </c>
    </row>
    <row r="3">
      <c r="A3" s="2" t="inlineStr">
        <is>
          <t>Input</t>
        </is>
      </c>
      <c r="B3" s="2" t="inlineStr">
        <is>
          <t>Value</t>
        </is>
      </c>
      <c r="C3" s="2" t="inlineStr">
        <is>
          <t>Measured or estimated</t>
        </is>
      </c>
      <c r="D3" s="2" t="inlineStr">
        <is>
          <t>Where the number comes from</t>
        </is>
      </c>
    </row>
    <row r="4">
      <c r="A4" s="3" t="inlineStr">
        <is>
          <t>Input tokens per conversation</t>
        </is>
      </c>
      <c r="B4" s="4" t="n"/>
      <c r="C4" s="4" t="n"/>
      <c r="D4" s="4" t="n"/>
    </row>
    <row r="5">
      <c r="A5" s="3" t="inlineStr">
        <is>
          <t>Output tokens per conversation</t>
        </is>
      </c>
      <c r="B5" s="4" t="n"/>
      <c r="C5" s="4" t="n"/>
      <c r="D5" s="4" t="n"/>
    </row>
    <row r="6">
      <c r="A6" s="3" t="inlineStr">
        <is>
          <t>Input price, per million tokens</t>
        </is>
      </c>
      <c r="B6" s="4" t="n"/>
      <c r="C6" s="4" t="n"/>
      <c r="D6" s="4" t="n"/>
    </row>
    <row r="7">
      <c r="A7" s="3" t="inlineStr">
        <is>
          <t>Output price, per million tokens</t>
        </is>
      </c>
      <c r="B7" s="4" t="n"/>
      <c r="C7" s="4" t="n"/>
      <c r="D7" s="4" t="n"/>
    </row>
    <row r="8">
      <c r="A8" s="3" t="inlineStr">
        <is>
          <t>Conversations per user, per month</t>
        </is>
      </c>
      <c r="B8" s="4" t="n"/>
      <c r="C8" s="4" t="n"/>
      <c r="D8" s="4" t="n"/>
    </row>
    <row r="9">
      <c r="A9" s="3" t="inlineStr">
        <is>
          <t>Active users</t>
        </is>
      </c>
      <c r="B9" s="4" t="n"/>
      <c r="C9" s="4" t="n"/>
      <c r="D9" s="4" t="n"/>
    </row>
    <row r="11">
      <c r="A11" s="5" t="inlineStr">
        <is>
          <t>The three levels</t>
        </is>
      </c>
    </row>
    <row r="12">
      <c r="A12" t="inlineStr">
        <is>
          <t>Cost per conversation</t>
        </is>
      </c>
      <c r="B12" s="6">
        <f>IF(COUNT(B4:B7)&lt;4,"",B4*B6/1000000+B5*B7/1000000)</f>
        <v/>
      </c>
    </row>
    <row r="13">
      <c r="A13" t="inlineStr">
        <is>
          <t>Cost per user, per month</t>
        </is>
      </c>
      <c r="B13" s="7">
        <f>IF(OR(B12="",B8=""),"",B12*B8)</f>
        <v/>
      </c>
    </row>
    <row r="14">
      <c r="A14" t="inlineStr">
        <is>
          <t>Total cost, all users, per month</t>
        </is>
      </c>
      <c r="B14" s="8">
        <f>IF(OR(B13="",B9=""),"",B13*B9)</f>
        <v/>
      </c>
    </row>
    <row r="15">
      <c r="A15" t="inlineStr">
        <is>
          <t>Share of per-conversation cost from output tokens</t>
        </is>
      </c>
      <c r="B15" s="9">
        <f>IF(B12="","",IF(B12=0,"",(B5*B7/1000000)/B12))</f>
        <v/>
      </c>
    </row>
    <row r="17">
      <c r="A17" s="5" t="inlineStr">
        <is>
          <t>If real usage differs from your assumption</t>
        </is>
      </c>
    </row>
    <row r="18">
      <c r="A18" t="inlineStr">
        <is>
          <t>Usage multiplier (conversations per user, or active users)</t>
        </is>
      </c>
      <c r="B18" s="10" t="n">
        <v>0.5</v>
      </c>
      <c r="C18" s="10" t="n">
        <v>1</v>
      </c>
      <c r="D18" s="10" t="n">
        <v>2</v>
      </c>
      <c r="E18" s="10" t="n">
        <v>3</v>
      </c>
    </row>
    <row r="19">
      <c r="A19" t="inlineStr">
        <is>
          <t>Total cost per month at that usage</t>
        </is>
      </c>
      <c r="B19" s="11">
        <f>IF($B$14="","",$B$14*B18)</f>
        <v/>
      </c>
      <c r="C19" s="11">
        <f>IF($B$14="","",$B$14*C18)</f>
        <v/>
      </c>
      <c r="D19" s="11">
        <f>IF($B$14="","",$B$14*D18)</f>
        <v/>
      </c>
      <c r="E19" s="11">
        <f>IF($B$14="","",$B$14*E18)</f>
        <v/>
      </c>
    </row>
    <row r="21">
      <c r="A21" s="5" t="inlineStr">
        <is>
          <t>Checks (all should read OK)</t>
        </is>
      </c>
    </row>
    <row r="22">
      <c r="A22" t="inlineStr">
        <is>
          <t>Every input is labelled Measured or Estimated</t>
        </is>
      </c>
      <c r="B22">
        <f>IF(COUNTA(C4:C9)=6,"OK","CHECK: label all six inputs")</f>
        <v/>
      </c>
    </row>
    <row r="23">
      <c r="A23" t="inlineStr">
        <is>
          <t>Token counts are measured, not guessed</t>
        </is>
      </c>
      <c r="B23">
        <f>IF(OR(C4="Estimated",C5="Estimated"),"CHECK: measure token counts from your golden set (A02)","OK")</f>
        <v/>
      </c>
    </row>
    <row r="24">
      <c r="A24" t="inlineStr">
        <is>
          <t>Every input is filled in</t>
        </is>
      </c>
      <c r="B24">
        <f>IF(COUNT(B4:B9)=6,"OK","CHECK: "&amp;(6-COUNT(B4:B9))&amp;" input(s) empty")</f>
        <v/>
      </c>
    </row>
    <row r="26">
      <c r="A26" s="12" t="inlineStr">
        <is>
          <t>Token counts can be measured precisely. Conversations per user and active users are guesses before launch; the model is only as honest as those two numbers.</t>
        </is>
      </c>
    </row>
    <row r="27"/>
  </sheetData>
  <mergeCells count="1">
    <mergeCell ref="A26:D27"/>
  </mergeCells>
  <conditionalFormatting sqref="B22:B24">
    <cfRule type="expression" priority="1" dxfId="0">
      <formula>LEFT(B22,5)="CHECK"</formula>
    </cfRule>
  </conditionalFormatting>
  <dataValidations count="2">
    <dataValidation sqref="C4:C9" showDropDown="0" showInputMessage="0" showErrorMessage="1" allowBlank="1" errorTitle="Label" error="Choose Measured or Estimated." type="list">
      <formula1>"Measured,Estimated"</formula1>
    </dataValidation>
    <dataValidation sqref="B4:B9" showDropDown="0" showInputMessage="0" showErrorMessage="1" allowBlank="1" errorTitle="Number" error="Enter a number, 0 or more.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6" customWidth="1" min="3" max="3"/>
    <col width="22" customWidth="1" min="4" max="4"/>
    <col width="16" customWidth="1" min="5" max="5"/>
    <col width="3" customWidth="1" min="6" max="6"/>
    <col width="36" customWidth="1" min="7" max="7"/>
    <col width="14" customWidth="1" min="8" max="8"/>
  </cols>
  <sheetData>
    <row r="1">
      <c r="A1" s="1" t="inlineStr">
        <is>
          <t>One conversation, billed turn by turn</t>
        </is>
      </c>
    </row>
    <row r="2">
      <c r="A2" t="inlineStr">
        <is>
          <t>Each turn resends the whole history. Set output tokens per turn to 0 to count only what the user types.</t>
        </is>
      </c>
    </row>
    <row r="3">
      <c r="A3" t="inlineStr">
        <is>
          <t>New input tokens per turn</t>
        </is>
      </c>
      <c r="B3" s="4" t="n"/>
    </row>
    <row r="4">
      <c r="A4" t="inlineStr">
        <is>
          <t>Output tokens per turn</t>
        </is>
      </c>
      <c r="B4" s="4" t="n"/>
    </row>
    <row r="5">
      <c r="A5" t="inlineStr">
        <is>
          <t>Turns in the conversation (1 to 30)</t>
        </is>
      </c>
      <c r="B5" s="4" t="n"/>
    </row>
    <row r="7">
      <c r="A7" s="2" t="inlineStr">
        <is>
          <t>Turn</t>
        </is>
      </c>
      <c r="B7" s="2" t="inlineStr">
        <is>
          <t>New content</t>
        </is>
      </c>
      <c r="C7" s="2" t="inlineStr">
        <is>
          <t>History resent</t>
        </is>
      </c>
      <c r="D7" s="2" t="inlineStr">
        <is>
          <t>Billed input this turn</t>
        </is>
      </c>
      <c r="E7" s="2" t="inlineStr">
        <is>
          <t>Output this turn</t>
        </is>
      </c>
      <c r="G7" s="5" t="inlineStr">
        <is>
          <t>Totals for this conversation</t>
        </is>
      </c>
    </row>
    <row r="8">
      <c r="A8" s="11" t="n">
        <v>1</v>
      </c>
      <c r="B8" s="11">
        <f>IF(OR($B$3="",$B$5="",A8&gt;$B$5),"",$B$3)</f>
        <v/>
      </c>
      <c r="C8" s="11">
        <f>IF(B8="","",(A8-1)*($B$3+$B$4))</f>
        <v/>
      </c>
      <c r="D8" s="11">
        <f>IF(B8="","",B8+C8)</f>
        <v/>
      </c>
      <c r="E8" s="11">
        <f>IF(B8="","",$B$4)</f>
        <v/>
      </c>
      <c r="G8" t="inlineStr">
        <is>
          <t>Billed input tokens</t>
        </is>
      </c>
      <c r="H8" s="13">
        <f>SUM(D8:D37)</f>
        <v/>
      </c>
    </row>
    <row r="9">
      <c r="A9" s="11" t="n">
        <v>2</v>
      </c>
      <c r="B9" s="11">
        <f>IF(OR($B$3="",$B$5="",A9&gt;$B$5),"",$B$3)</f>
        <v/>
      </c>
      <c r="C9" s="11">
        <f>IF(B9="","",(A9-1)*($B$3+$B$4))</f>
        <v/>
      </c>
      <c r="D9" s="11">
        <f>IF(B9="","",B9+C9)</f>
        <v/>
      </c>
      <c r="E9" s="11">
        <f>IF(B9="","",$B$4)</f>
        <v/>
      </c>
      <c r="G9" t="inlineStr">
        <is>
          <t>Output tokens</t>
        </is>
      </c>
      <c r="H9" s="13">
        <f>SUM(E8:E37)</f>
        <v/>
      </c>
    </row>
    <row r="10">
      <c r="A10" s="11" t="n">
        <v>3</v>
      </c>
      <c r="B10" s="11">
        <f>IF(OR($B$3="",$B$5="",A10&gt;$B$5),"",$B$3)</f>
        <v/>
      </c>
      <c r="C10" s="11">
        <f>IF(B10="","",(A10-1)*($B$3+$B$4))</f>
        <v/>
      </c>
      <c r="D10" s="11">
        <f>IF(B10="","",B10+C10)</f>
        <v/>
      </c>
      <c r="E10" s="11">
        <f>IF(B10="","",$B$4)</f>
        <v/>
      </c>
      <c r="G10" t="inlineStr">
        <is>
          <t>Input tokens that are resent history</t>
        </is>
      </c>
      <c r="H10" s="13">
        <f>SUM(C8:C37)</f>
        <v/>
      </c>
    </row>
    <row r="11">
      <c r="A11" s="11" t="n">
        <v>4</v>
      </c>
      <c r="B11" s="11">
        <f>IF(OR($B$3="",$B$5="",A11&gt;$B$5),"",$B$3)</f>
        <v/>
      </c>
      <c r="C11" s="11">
        <f>IF(B11="","",(A11-1)*($B$3+$B$4))</f>
        <v/>
      </c>
      <c r="D11" s="11">
        <f>IF(B11="","",B11+C11)</f>
        <v/>
      </c>
      <c r="E11" s="11">
        <f>IF(B11="","",$B$4)</f>
        <v/>
      </c>
    </row>
    <row r="12">
      <c r="A12" s="11" t="n">
        <v>5</v>
      </c>
      <c r="B12" s="11">
        <f>IF(OR($B$3="",$B$5="",A12&gt;$B$5),"",$B$3)</f>
        <v/>
      </c>
      <c r="C12" s="11">
        <f>IF(B12="","",(A12-1)*($B$3+$B$4))</f>
        <v/>
      </c>
      <c r="D12" s="11">
        <f>IF(B12="","",B12+C12)</f>
        <v/>
      </c>
      <c r="E12" s="11">
        <f>IF(B12="","",$B$4)</f>
        <v/>
      </c>
      <c r="G12" s="12" t="inlineStr">
        <is>
          <t>Enter these on the Model tab only if they come from real conversations. Totals built from guessed turn sizes are estimates.</t>
        </is>
      </c>
    </row>
    <row r="13">
      <c r="A13" s="11" t="n">
        <v>6</v>
      </c>
      <c r="B13" s="11">
        <f>IF(OR($B$3="",$B$5="",A13&gt;$B$5),"",$B$3)</f>
        <v/>
      </c>
      <c r="C13" s="11">
        <f>IF(B13="","",(A13-1)*($B$3+$B$4))</f>
        <v/>
      </c>
      <c r="D13" s="11">
        <f>IF(B13="","",B13+C13)</f>
        <v/>
      </c>
      <c r="E13" s="11">
        <f>IF(B13="","",$B$4)</f>
        <v/>
      </c>
    </row>
    <row r="14">
      <c r="A14" s="11" t="n">
        <v>7</v>
      </c>
      <c r="B14" s="11">
        <f>IF(OR($B$3="",$B$5="",A14&gt;$B$5),"",$B$3)</f>
        <v/>
      </c>
      <c r="C14" s="11">
        <f>IF(B14="","",(A14-1)*($B$3+$B$4))</f>
        <v/>
      </c>
      <c r="D14" s="11">
        <f>IF(B14="","",B14+C14)</f>
        <v/>
      </c>
      <c r="E14" s="11">
        <f>IF(B14="","",$B$4)</f>
        <v/>
      </c>
    </row>
    <row r="15">
      <c r="A15" s="11" t="n">
        <v>8</v>
      </c>
      <c r="B15" s="11">
        <f>IF(OR($B$3="",$B$5="",A15&gt;$B$5),"",$B$3)</f>
        <v/>
      </c>
      <c r="C15" s="11">
        <f>IF(B15="","",(A15-1)*($B$3+$B$4))</f>
        <v/>
      </c>
      <c r="D15" s="11">
        <f>IF(B15="","",B15+C15)</f>
        <v/>
      </c>
      <c r="E15" s="11">
        <f>IF(B15="","",$B$4)</f>
        <v/>
      </c>
    </row>
    <row r="16">
      <c r="A16" s="11" t="n">
        <v>9</v>
      </c>
      <c r="B16" s="11">
        <f>IF(OR($B$3="",$B$5="",A16&gt;$B$5),"",$B$3)</f>
        <v/>
      </c>
      <c r="C16" s="11">
        <f>IF(B16="","",(A16-1)*($B$3+$B$4))</f>
        <v/>
      </c>
      <c r="D16" s="11">
        <f>IF(B16="","",B16+C16)</f>
        <v/>
      </c>
      <c r="E16" s="11">
        <f>IF(B16="","",$B$4)</f>
        <v/>
      </c>
    </row>
    <row r="17">
      <c r="A17" s="11" t="n">
        <v>10</v>
      </c>
      <c r="B17" s="11">
        <f>IF(OR($B$3="",$B$5="",A17&gt;$B$5),"",$B$3)</f>
        <v/>
      </c>
      <c r="C17" s="11">
        <f>IF(B17="","",(A17-1)*($B$3+$B$4))</f>
        <v/>
      </c>
      <c r="D17" s="11">
        <f>IF(B17="","",B17+C17)</f>
        <v/>
      </c>
      <c r="E17" s="11">
        <f>IF(B17="","",$B$4)</f>
        <v/>
      </c>
    </row>
    <row r="18">
      <c r="A18" s="11" t="n">
        <v>11</v>
      </c>
      <c r="B18" s="11">
        <f>IF(OR($B$3="",$B$5="",A18&gt;$B$5),"",$B$3)</f>
        <v/>
      </c>
      <c r="C18" s="11">
        <f>IF(B18="","",(A18-1)*($B$3+$B$4))</f>
        <v/>
      </c>
      <c r="D18" s="11">
        <f>IF(B18="","",B18+C18)</f>
        <v/>
      </c>
      <c r="E18" s="11">
        <f>IF(B18="","",$B$4)</f>
        <v/>
      </c>
    </row>
    <row r="19">
      <c r="A19" s="11" t="n">
        <v>12</v>
      </c>
      <c r="B19" s="11">
        <f>IF(OR($B$3="",$B$5="",A19&gt;$B$5),"",$B$3)</f>
        <v/>
      </c>
      <c r="C19" s="11">
        <f>IF(B19="","",(A19-1)*($B$3+$B$4))</f>
        <v/>
      </c>
      <c r="D19" s="11">
        <f>IF(B19="","",B19+C19)</f>
        <v/>
      </c>
      <c r="E19" s="11">
        <f>IF(B19="","",$B$4)</f>
        <v/>
      </c>
    </row>
    <row r="20">
      <c r="A20" s="11" t="n">
        <v>13</v>
      </c>
      <c r="B20" s="11">
        <f>IF(OR($B$3="",$B$5="",A20&gt;$B$5),"",$B$3)</f>
        <v/>
      </c>
      <c r="C20" s="11">
        <f>IF(B20="","",(A20-1)*($B$3+$B$4))</f>
        <v/>
      </c>
      <c r="D20" s="11">
        <f>IF(B20="","",B20+C20)</f>
        <v/>
      </c>
      <c r="E20" s="11">
        <f>IF(B20="","",$B$4)</f>
        <v/>
      </c>
    </row>
    <row r="21">
      <c r="A21" s="11" t="n">
        <v>14</v>
      </c>
      <c r="B21" s="11">
        <f>IF(OR($B$3="",$B$5="",A21&gt;$B$5),"",$B$3)</f>
        <v/>
      </c>
      <c r="C21" s="11">
        <f>IF(B21="","",(A21-1)*($B$3+$B$4))</f>
        <v/>
      </c>
      <c r="D21" s="11">
        <f>IF(B21="","",B21+C21)</f>
        <v/>
      </c>
      <c r="E21" s="11">
        <f>IF(B21="","",$B$4)</f>
        <v/>
      </c>
    </row>
    <row r="22">
      <c r="A22" s="11" t="n">
        <v>15</v>
      </c>
      <c r="B22" s="11">
        <f>IF(OR($B$3="",$B$5="",A22&gt;$B$5),"",$B$3)</f>
        <v/>
      </c>
      <c r="C22" s="11">
        <f>IF(B22="","",(A22-1)*($B$3+$B$4))</f>
        <v/>
      </c>
      <c r="D22" s="11">
        <f>IF(B22="","",B22+C22)</f>
        <v/>
      </c>
      <c r="E22" s="11">
        <f>IF(B22="","",$B$4)</f>
        <v/>
      </c>
    </row>
    <row r="23">
      <c r="A23" s="11" t="n">
        <v>16</v>
      </c>
      <c r="B23" s="11">
        <f>IF(OR($B$3="",$B$5="",A23&gt;$B$5),"",$B$3)</f>
        <v/>
      </c>
      <c r="C23" s="11">
        <f>IF(B23="","",(A23-1)*($B$3+$B$4))</f>
        <v/>
      </c>
      <c r="D23" s="11">
        <f>IF(B23="","",B23+C23)</f>
        <v/>
      </c>
      <c r="E23" s="11">
        <f>IF(B23="","",$B$4)</f>
        <v/>
      </c>
    </row>
    <row r="24">
      <c r="A24" s="11" t="n">
        <v>17</v>
      </c>
      <c r="B24" s="11">
        <f>IF(OR($B$3="",$B$5="",A24&gt;$B$5),"",$B$3)</f>
        <v/>
      </c>
      <c r="C24" s="11">
        <f>IF(B24="","",(A24-1)*($B$3+$B$4))</f>
        <v/>
      </c>
      <c r="D24" s="11">
        <f>IF(B24="","",B24+C24)</f>
        <v/>
      </c>
      <c r="E24" s="11">
        <f>IF(B24="","",$B$4)</f>
        <v/>
      </c>
    </row>
    <row r="25">
      <c r="A25" s="11" t="n">
        <v>18</v>
      </c>
      <c r="B25" s="11">
        <f>IF(OR($B$3="",$B$5="",A25&gt;$B$5),"",$B$3)</f>
        <v/>
      </c>
      <c r="C25" s="11">
        <f>IF(B25="","",(A25-1)*($B$3+$B$4))</f>
        <v/>
      </c>
      <c r="D25" s="11">
        <f>IF(B25="","",B25+C25)</f>
        <v/>
      </c>
      <c r="E25" s="11">
        <f>IF(B25="","",$B$4)</f>
        <v/>
      </c>
    </row>
    <row r="26">
      <c r="A26" s="11" t="n">
        <v>19</v>
      </c>
      <c r="B26" s="11">
        <f>IF(OR($B$3="",$B$5="",A26&gt;$B$5),"",$B$3)</f>
        <v/>
      </c>
      <c r="C26" s="11">
        <f>IF(B26="","",(A26-1)*($B$3+$B$4))</f>
        <v/>
      </c>
      <c r="D26" s="11">
        <f>IF(B26="","",B26+C26)</f>
        <v/>
      </c>
      <c r="E26" s="11">
        <f>IF(B26="","",$B$4)</f>
        <v/>
      </c>
    </row>
    <row r="27">
      <c r="A27" s="11" t="n">
        <v>20</v>
      </c>
      <c r="B27" s="11">
        <f>IF(OR($B$3="",$B$5="",A27&gt;$B$5),"",$B$3)</f>
        <v/>
      </c>
      <c r="C27" s="11">
        <f>IF(B27="","",(A27-1)*($B$3+$B$4))</f>
        <v/>
      </c>
      <c r="D27" s="11">
        <f>IF(B27="","",B27+C27)</f>
        <v/>
      </c>
      <c r="E27" s="11">
        <f>IF(B27="","",$B$4)</f>
        <v/>
      </c>
    </row>
    <row r="28">
      <c r="A28" s="11" t="n">
        <v>21</v>
      </c>
      <c r="B28" s="11">
        <f>IF(OR($B$3="",$B$5="",A28&gt;$B$5),"",$B$3)</f>
        <v/>
      </c>
      <c r="C28" s="11">
        <f>IF(B28="","",(A28-1)*($B$3+$B$4))</f>
        <v/>
      </c>
      <c r="D28" s="11">
        <f>IF(B28="","",B28+C28)</f>
        <v/>
      </c>
      <c r="E28" s="11">
        <f>IF(B28="","",$B$4)</f>
        <v/>
      </c>
    </row>
    <row r="29">
      <c r="A29" s="11" t="n">
        <v>22</v>
      </c>
      <c r="B29" s="11">
        <f>IF(OR($B$3="",$B$5="",A29&gt;$B$5),"",$B$3)</f>
        <v/>
      </c>
      <c r="C29" s="11">
        <f>IF(B29="","",(A29-1)*($B$3+$B$4))</f>
        <v/>
      </c>
      <c r="D29" s="11">
        <f>IF(B29="","",B29+C29)</f>
        <v/>
      </c>
      <c r="E29" s="11">
        <f>IF(B29="","",$B$4)</f>
        <v/>
      </c>
    </row>
    <row r="30">
      <c r="A30" s="11" t="n">
        <v>23</v>
      </c>
      <c r="B30" s="11">
        <f>IF(OR($B$3="",$B$5="",A30&gt;$B$5),"",$B$3)</f>
        <v/>
      </c>
      <c r="C30" s="11">
        <f>IF(B30="","",(A30-1)*($B$3+$B$4))</f>
        <v/>
      </c>
      <c r="D30" s="11">
        <f>IF(B30="","",B30+C30)</f>
        <v/>
      </c>
      <c r="E30" s="11">
        <f>IF(B30="","",$B$4)</f>
        <v/>
      </c>
    </row>
    <row r="31">
      <c r="A31" s="11" t="n">
        <v>24</v>
      </c>
      <c r="B31" s="11">
        <f>IF(OR($B$3="",$B$5="",A31&gt;$B$5),"",$B$3)</f>
        <v/>
      </c>
      <c r="C31" s="11">
        <f>IF(B31="","",(A31-1)*($B$3+$B$4))</f>
        <v/>
      </c>
      <c r="D31" s="11">
        <f>IF(B31="","",B31+C31)</f>
        <v/>
      </c>
      <c r="E31" s="11">
        <f>IF(B31="","",$B$4)</f>
        <v/>
      </c>
    </row>
    <row r="32">
      <c r="A32" s="11" t="n">
        <v>25</v>
      </c>
      <c r="B32" s="11">
        <f>IF(OR($B$3="",$B$5="",A32&gt;$B$5),"",$B$3)</f>
        <v/>
      </c>
      <c r="C32" s="11">
        <f>IF(B32="","",(A32-1)*($B$3+$B$4))</f>
        <v/>
      </c>
      <c r="D32" s="11">
        <f>IF(B32="","",B32+C32)</f>
        <v/>
      </c>
      <c r="E32" s="11">
        <f>IF(B32="","",$B$4)</f>
        <v/>
      </c>
    </row>
    <row r="33">
      <c r="A33" s="11" t="n">
        <v>26</v>
      </c>
      <c r="B33" s="11">
        <f>IF(OR($B$3="",$B$5="",A33&gt;$B$5),"",$B$3)</f>
        <v/>
      </c>
      <c r="C33" s="11">
        <f>IF(B33="","",(A33-1)*($B$3+$B$4))</f>
        <v/>
      </c>
      <c r="D33" s="11">
        <f>IF(B33="","",B33+C33)</f>
        <v/>
      </c>
      <c r="E33" s="11">
        <f>IF(B33="","",$B$4)</f>
        <v/>
      </c>
    </row>
    <row r="34">
      <c r="A34" s="11" t="n">
        <v>27</v>
      </c>
      <c r="B34" s="11">
        <f>IF(OR($B$3="",$B$5="",A34&gt;$B$5),"",$B$3)</f>
        <v/>
      </c>
      <c r="C34" s="11">
        <f>IF(B34="","",(A34-1)*($B$3+$B$4))</f>
        <v/>
      </c>
      <c r="D34" s="11">
        <f>IF(B34="","",B34+C34)</f>
        <v/>
      </c>
      <c r="E34" s="11">
        <f>IF(B34="","",$B$4)</f>
        <v/>
      </c>
    </row>
    <row r="35">
      <c r="A35" s="11" t="n">
        <v>28</v>
      </c>
      <c r="B35" s="11">
        <f>IF(OR($B$3="",$B$5="",A35&gt;$B$5),"",$B$3)</f>
        <v/>
      </c>
      <c r="C35" s="11">
        <f>IF(B35="","",(A35-1)*($B$3+$B$4))</f>
        <v/>
      </c>
      <c r="D35" s="11">
        <f>IF(B35="","",B35+C35)</f>
        <v/>
      </c>
      <c r="E35" s="11">
        <f>IF(B35="","",$B$4)</f>
        <v/>
      </c>
    </row>
    <row r="36">
      <c r="A36" s="11" t="n">
        <v>29</v>
      </c>
      <c r="B36" s="11">
        <f>IF(OR($B$3="",$B$5="",A36&gt;$B$5),"",$B$3)</f>
        <v/>
      </c>
      <c r="C36" s="11">
        <f>IF(B36="","",(A36-1)*($B$3+$B$4))</f>
        <v/>
      </c>
      <c r="D36" s="11">
        <f>IF(B36="","",B36+C36)</f>
        <v/>
      </c>
      <c r="E36" s="11">
        <f>IF(B36="","",$B$4)</f>
        <v/>
      </c>
    </row>
    <row r="37">
      <c r="A37" s="11" t="n">
        <v>30</v>
      </c>
      <c r="B37" s="11">
        <f>IF(OR($B$3="",$B$5="",A37&gt;$B$5),"",$B$3)</f>
        <v/>
      </c>
      <c r="C37" s="11">
        <f>IF(B37="","",(A37-1)*($B$3+$B$4))</f>
        <v/>
      </c>
      <c r="D37" s="11">
        <f>IF(B37="","",B37+C37)</f>
        <v/>
      </c>
      <c r="E37" s="11">
        <f>IF(B37="","",$B$4)</f>
        <v/>
      </c>
    </row>
  </sheetData>
  <mergeCells count="1">
    <mergeCell ref="G12:H15"/>
  </mergeCells>
  <dataValidations count="1">
    <dataValidation sqref="B5" showDropDown="0" showInputMessage="0" showErrorMessage="1" allowBlank="1" errorTitle="Turns" error="Enter a whole number from 1 to 30." type="whole" operator="between">
      <formula1>1</formula1>
      <formula2>30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2026-10-31T17:18:42Z</dcterms:created>
  <dcterms:modified xmlns:dcterms="http://purl.org/dc/terms/" xmlns:xsi="http://www.w3.org/2001/XMLSchema-instance" xsi:type="dcterms:W3CDTF">2026-10-31T17:18:42Z</dcterms:modified>
</cp:coreProperties>
</file>