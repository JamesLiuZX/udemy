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eries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sz val="14"/>
    </font>
    <font>
      <b val="1"/>
    </font>
  </fonts>
  <fills count="4">
    <fill>
      <patternFill/>
    </fill>
    <fill>
      <patternFill patternType="gray125"/>
    </fill>
    <fill>
      <patternFill patternType="solid">
        <fgColor rgb="001B4F8F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1" pivotButton="0" quotePrefix="0" xfId="0"/>
    <xf numFmtId="0" fontId="0" fillId="3" borderId="1" pivotButton="0" quotePrefix="0" xfId="0"/>
    <xf numFmtId="2" fontId="0" fillId="3" borderId="1" pivotButton="0" quotePrefix="0" xfId="0"/>
    <xf numFmtId="9" fontId="0" fillId="3" borderId="1" pivotButton="0" quotePrefix="0" xfId="0"/>
    <xf numFmtId="0" fontId="2" fillId="0" borderId="0" pivotButton="0" quotePrefix="0" xfId="0"/>
    <xf numFmtId="0" fontId="1" fillId="2" borderId="0" pivotButton="0" quotePrefix="0" xfId="0"/>
    <xf numFmtId="1" fontId="0" fillId="0" borderId="0" pivotButton="0" quotePrefix="0" xfId="0"/>
    <xf numFmtId="9" fontId="0" fillId="0" borderId="0" pivotButton="0" quotePrefix="0" xfId="0"/>
    <xf numFmtId="164" fontId="0" fillId="0" borderId="0" pivotButton="0" quotePrefix="0" xfId="0"/>
    <xf numFmtId="2" fontId="0" fillId="0" borderId="0" pivotButton="0" quotePrefix="0" xfId="0"/>
    <xf numFmtId="0" fontId="3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dxfs count="1">
    <dxf>
      <fill>
        <patternFill patternType="solid">
          <bgColor rgb="00F4C7C3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44" customWidth="1" min="2" max="2"/>
    <col width="32" customWidth="1" min="3" max="3"/>
    <col width="10" customWidth="1" min="4" max="4"/>
    <col width="18" customWidth="1" min="5" max="5"/>
    <col width="16" customWidth="1" min="6" max="6"/>
    <col width="8" customWidth="1" min="7" max="7"/>
    <col width="11" customWidth="1" min="8" max="8"/>
    <col width="10" customWidth="1" min="9" max="9"/>
    <col width="28" customWidth="1" min="10" max="10"/>
  </cols>
  <sheetData>
    <row r="1" ht="48" customHeight="1">
      <c r="A1" s="1" t="inlineStr">
        <is>
          <t>#</t>
        </is>
      </c>
      <c r="B1" s="1" t="inlineStr">
        <is>
          <t>Test query (a real question)</t>
        </is>
      </c>
      <c r="C1" s="1" t="inlineStr">
        <is>
          <t>Known correct source document</t>
        </is>
      </c>
      <c r="D1" s="1" t="inlineStr">
        <is>
          <t>Chunks kept (k)</t>
        </is>
      </c>
      <c r="E1" s="1" t="inlineStr">
        <is>
          <t>Rank of first correct chunk (blank = not found)</t>
        </is>
      </c>
      <c r="F1" s="1" t="inlineStr">
        <is>
          <t>Relevant chunks among those kept</t>
        </is>
      </c>
      <c r="G1" s="1" t="inlineStr">
        <is>
          <t>Found?</t>
        </is>
      </c>
      <c r="H1" s="1" t="inlineStr">
        <is>
          <t>Reciprocal rank</t>
        </is>
      </c>
      <c r="I1" s="1" t="inlineStr">
        <is>
          <t>Precision</t>
        </is>
      </c>
      <c r="J1" s="1" t="inlineStr">
        <is>
          <t>Notes</t>
        </is>
      </c>
    </row>
    <row r="2">
      <c r="A2" s="2" t="n">
        <v>1</v>
      </c>
      <c r="B2" s="2" t="n"/>
      <c r="C2" s="2" t="n"/>
      <c r="D2" s="2" t="n"/>
      <c r="E2" s="2" t="n"/>
      <c r="F2" s="2" t="n"/>
      <c r="G2" s="3">
        <f>IF(D2="","",IF(E2="",0,1))</f>
        <v/>
      </c>
      <c r="H2" s="4">
        <f>IF(D2="","",IF(E2="",0,1/E2))</f>
        <v/>
      </c>
      <c r="I2" s="5">
        <f>IF(OR(D2="",F2=""),"",F2/D2)</f>
        <v/>
      </c>
      <c r="J2" s="2" t="n"/>
    </row>
    <row r="3">
      <c r="A3" s="2" t="n">
        <v>2</v>
      </c>
      <c r="B3" s="2" t="n"/>
      <c r="C3" s="2" t="n"/>
      <c r="D3" s="2" t="n"/>
      <c r="E3" s="2" t="n"/>
      <c r="F3" s="2" t="n"/>
      <c r="G3" s="3">
        <f>IF(D3="","",IF(E3="",0,1))</f>
        <v/>
      </c>
      <c r="H3" s="4">
        <f>IF(D3="","",IF(E3="",0,1/E3))</f>
        <v/>
      </c>
      <c r="I3" s="5">
        <f>IF(OR(D3="",F3=""),"",F3/D3)</f>
        <v/>
      </c>
      <c r="J3" s="2" t="n"/>
    </row>
    <row r="4">
      <c r="A4" s="2" t="n">
        <v>3</v>
      </c>
      <c r="B4" s="2" t="n"/>
      <c r="C4" s="2" t="n"/>
      <c r="D4" s="2" t="n"/>
      <c r="E4" s="2" t="n"/>
      <c r="F4" s="2" t="n"/>
      <c r="G4" s="3">
        <f>IF(D4="","",IF(E4="",0,1))</f>
        <v/>
      </c>
      <c r="H4" s="4">
        <f>IF(D4="","",IF(E4="",0,1/E4))</f>
        <v/>
      </c>
      <c r="I4" s="5">
        <f>IF(OR(D4="",F4=""),"",F4/D4)</f>
        <v/>
      </c>
      <c r="J4" s="2" t="n"/>
    </row>
    <row r="5">
      <c r="A5" s="2" t="n">
        <v>4</v>
      </c>
      <c r="B5" s="2" t="n"/>
      <c r="C5" s="2" t="n"/>
      <c r="D5" s="2" t="n"/>
      <c r="E5" s="2" t="n"/>
      <c r="F5" s="2" t="n"/>
      <c r="G5" s="3">
        <f>IF(D5="","",IF(E5="",0,1))</f>
        <v/>
      </c>
      <c r="H5" s="4">
        <f>IF(D5="","",IF(E5="",0,1/E5))</f>
        <v/>
      </c>
      <c r="I5" s="5">
        <f>IF(OR(D5="",F5=""),"",F5/D5)</f>
        <v/>
      </c>
      <c r="J5" s="2" t="n"/>
    </row>
    <row r="6">
      <c r="A6" s="2" t="n">
        <v>5</v>
      </c>
      <c r="B6" s="2" t="n"/>
      <c r="C6" s="2" t="n"/>
      <c r="D6" s="2" t="n"/>
      <c r="E6" s="2" t="n"/>
      <c r="F6" s="2" t="n"/>
      <c r="G6" s="3">
        <f>IF(D6="","",IF(E6="",0,1))</f>
        <v/>
      </c>
      <c r="H6" s="4">
        <f>IF(D6="","",IF(E6="",0,1/E6))</f>
        <v/>
      </c>
      <c r="I6" s="5">
        <f>IF(OR(D6="",F6=""),"",F6/D6)</f>
        <v/>
      </c>
      <c r="J6" s="2" t="n"/>
    </row>
    <row r="7">
      <c r="A7" s="2" t="n">
        <v>6</v>
      </c>
      <c r="B7" s="2" t="n"/>
      <c r="C7" s="2" t="n"/>
      <c r="D7" s="2" t="n"/>
      <c r="E7" s="2" t="n"/>
      <c r="F7" s="2" t="n"/>
      <c r="G7" s="3">
        <f>IF(D7="","",IF(E7="",0,1))</f>
        <v/>
      </c>
      <c r="H7" s="4">
        <f>IF(D7="","",IF(E7="",0,1/E7))</f>
        <v/>
      </c>
      <c r="I7" s="5">
        <f>IF(OR(D7="",F7=""),"",F7/D7)</f>
        <v/>
      </c>
      <c r="J7" s="2" t="n"/>
    </row>
    <row r="8">
      <c r="A8" s="2" t="n">
        <v>7</v>
      </c>
      <c r="B8" s="2" t="n"/>
      <c r="C8" s="2" t="n"/>
      <c r="D8" s="2" t="n"/>
      <c r="E8" s="2" t="n"/>
      <c r="F8" s="2" t="n"/>
      <c r="G8" s="3">
        <f>IF(D8="","",IF(E8="",0,1))</f>
        <v/>
      </c>
      <c r="H8" s="4">
        <f>IF(D8="","",IF(E8="",0,1/E8))</f>
        <v/>
      </c>
      <c r="I8" s="5">
        <f>IF(OR(D8="",F8=""),"",F8/D8)</f>
        <v/>
      </c>
      <c r="J8" s="2" t="n"/>
    </row>
    <row r="9">
      <c r="A9" s="2" t="n">
        <v>8</v>
      </c>
      <c r="B9" s="2" t="n"/>
      <c r="C9" s="2" t="n"/>
      <c r="D9" s="2" t="n"/>
      <c r="E9" s="2" t="n"/>
      <c r="F9" s="2" t="n"/>
      <c r="G9" s="3">
        <f>IF(D9="","",IF(E9="",0,1))</f>
        <v/>
      </c>
      <c r="H9" s="4">
        <f>IF(D9="","",IF(E9="",0,1/E9))</f>
        <v/>
      </c>
      <c r="I9" s="5">
        <f>IF(OR(D9="",F9=""),"",F9/D9)</f>
        <v/>
      </c>
      <c r="J9" s="2" t="n"/>
    </row>
    <row r="10">
      <c r="A10" s="2" t="n">
        <v>9</v>
      </c>
      <c r="B10" s="2" t="n"/>
      <c r="C10" s="2" t="n"/>
      <c r="D10" s="2" t="n"/>
      <c r="E10" s="2" t="n"/>
      <c r="F10" s="2" t="n"/>
      <c r="G10" s="3">
        <f>IF(D10="","",IF(E10="",0,1))</f>
        <v/>
      </c>
      <c r="H10" s="4">
        <f>IF(D10="","",IF(E10="",0,1/E10))</f>
        <v/>
      </c>
      <c r="I10" s="5">
        <f>IF(OR(D10="",F10=""),"",F10/D10)</f>
        <v/>
      </c>
      <c r="J10" s="2" t="n"/>
    </row>
    <row r="11">
      <c r="A11" s="2" t="n">
        <v>10</v>
      </c>
      <c r="B11" s="2" t="n"/>
      <c r="C11" s="2" t="n"/>
      <c r="D11" s="2" t="n"/>
      <c r="E11" s="2" t="n"/>
      <c r="F11" s="2" t="n"/>
      <c r="G11" s="3">
        <f>IF(D11="","",IF(E11="",0,1))</f>
        <v/>
      </c>
      <c r="H11" s="4">
        <f>IF(D11="","",IF(E11="",0,1/E11))</f>
        <v/>
      </c>
      <c r="I11" s="5">
        <f>IF(OR(D11="",F11=""),"",F11/D11)</f>
        <v/>
      </c>
      <c r="J11" s="2" t="n"/>
    </row>
    <row r="12">
      <c r="A12" s="2" t="n">
        <v>11</v>
      </c>
      <c r="B12" s="2" t="n"/>
      <c r="C12" s="2" t="n"/>
      <c r="D12" s="2" t="n"/>
      <c r="E12" s="2" t="n"/>
      <c r="F12" s="2" t="n"/>
      <c r="G12" s="3">
        <f>IF(D12="","",IF(E12="",0,1))</f>
        <v/>
      </c>
      <c r="H12" s="4">
        <f>IF(D12="","",IF(E12="",0,1/E12))</f>
        <v/>
      </c>
      <c r="I12" s="5">
        <f>IF(OR(D12="",F12=""),"",F12/D12)</f>
        <v/>
      </c>
      <c r="J12" s="2" t="n"/>
    </row>
    <row r="13">
      <c r="A13" s="2" t="n">
        <v>12</v>
      </c>
      <c r="B13" s="2" t="n"/>
      <c r="C13" s="2" t="n"/>
      <c r="D13" s="2" t="n"/>
      <c r="E13" s="2" t="n"/>
      <c r="F13" s="2" t="n"/>
      <c r="G13" s="3">
        <f>IF(D13="","",IF(E13="",0,1))</f>
        <v/>
      </c>
      <c r="H13" s="4">
        <f>IF(D13="","",IF(E13="",0,1/E13))</f>
        <v/>
      </c>
      <c r="I13" s="5">
        <f>IF(OR(D13="",F13=""),"",F13/D13)</f>
        <v/>
      </c>
      <c r="J13" s="2" t="n"/>
    </row>
    <row r="14">
      <c r="A14" s="2" t="n">
        <v>13</v>
      </c>
      <c r="B14" s="2" t="n"/>
      <c r="C14" s="2" t="n"/>
      <c r="D14" s="2" t="n"/>
      <c r="E14" s="2" t="n"/>
      <c r="F14" s="2" t="n"/>
      <c r="G14" s="3">
        <f>IF(D14="","",IF(E14="",0,1))</f>
        <v/>
      </c>
      <c r="H14" s="4">
        <f>IF(D14="","",IF(E14="",0,1/E14))</f>
        <v/>
      </c>
      <c r="I14" s="5">
        <f>IF(OR(D14="",F14=""),"",F14/D14)</f>
        <v/>
      </c>
      <c r="J14" s="2" t="n"/>
    </row>
    <row r="15">
      <c r="A15" s="2" t="n">
        <v>14</v>
      </c>
      <c r="B15" s="2" t="n"/>
      <c r="C15" s="2" t="n"/>
      <c r="D15" s="2" t="n"/>
      <c r="E15" s="2" t="n"/>
      <c r="F15" s="2" t="n"/>
      <c r="G15" s="3">
        <f>IF(D15="","",IF(E15="",0,1))</f>
        <v/>
      </c>
      <c r="H15" s="4">
        <f>IF(D15="","",IF(E15="",0,1/E15))</f>
        <v/>
      </c>
      <c r="I15" s="5">
        <f>IF(OR(D15="",F15=""),"",F15/D15)</f>
        <v/>
      </c>
      <c r="J15" s="2" t="n"/>
    </row>
    <row r="16">
      <c r="A16" s="2" t="n">
        <v>15</v>
      </c>
      <c r="B16" s="2" t="n"/>
      <c r="C16" s="2" t="n"/>
      <c r="D16" s="2" t="n"/>
      <c r="E16" s="2" t="n"/>
      <c r="F16" s="2" t="n"/>
      <c r="G16" s="3">
        <f>IF(D16="","",IF(E16="",0,1))</f>
        <v/>
      </c>
      <c r="H16" s="4">
        <f>IF(D16="","",IF(E16="",0,1/E16))</f>
        <v/>
      </c>
      <c r="I16" s="5">
        <f>IF(OR(D16="",F16=""),"",F16/D16)</f>
        <v/>
      </c>
      <c r="J16" s="2" t="n"/>
    </row>
    <row r="17">
      <c r="A17" s="2" t="n">
        <v>16</v>
      </c>
      <c r="B17" s="2" t="n"/>
      <c r="C17" s="2" t="n"/>
      <c r="D17" s="2" t="n"/>
      <c r="E17" s="2" t="n"/>
      <c r="F17" s="2" t="n"/>
      <c r="G17" s="3">
        <f>IF(D17="","",IF(E17="",0,1))</f>
        <v/>
      </c>
      <c r="H17" s="4">
        <f>IF(D17="","",IF(E17="",0,1/E17))</f>
        <v/>
      </c>
      <c r="I17" s="5">
        <f>IF(OR(D17="",F17=""),"",F17/D17)</f>
        <v/>
      </c>
      <c r="J17" s="2" t="n"/>
    </row>
    <row r="18">
      <c r="A18" s="2" t="n">
        <v>17</v>
      </c>
      <c r="B18" s="2" t="n"/>
      <c r="C18" s="2" t="n"/>
      <c r="D18" s="2" t="n"/>
      <c r="E18" s="2" t="n"/>
      <c r="F18" s="2" t="n"/>
      <c r="G18" s="3">
        <f>IF(D18="","",IF(E18="",0,1))</f>
        <v/>
      </c>
      <c r="H18" s="4">
        <f>IF(D18="","",IF(E18="",0,1/E18))</f>
        <v/>
      </c>
      <c r="I18" s="5">
        <f>IF(OR(D18="",F18=""),"",F18/D18)</f>
        <v/>
      </c>
      <c r="J18" s="2" t="n"/>
    </row>
    <row r="19">
      <c r="A19" s="2" t="n">
        <v>18</v>
      </c>
      <c r="B19" s="2" t="n"/>
      <c r="C19" s="2" t="n"/>
      <c r="D19" s="2" t="n"/>
      <c r="E19" s="2" t="n"/>
      <c r="F19" s="2" t="n"/>
      <c r="G19" s="3">
        <f>IF(D19="","",IF(E19="",0,1))</f>
        <v/>
      </c>
      <c r="H19" s="4">
        <f>IF(D19="","",IF(E19="",0,1/E19))</f>
        <v/>
      </c>
      <c r="I19" s="5">
        <f>IF(OR(D19="",F19=""),"",F19/D19)</f>
        <v/>
      </c>
      <c r="J19" s="2" t="n"/>
    </row>
    <row r="20">
      <c r="A20" s="2" t="n">
        <v>19</v>
      </c>
      <c r="B20" s="2" t="n"/>
      <c r="C20" s="2" t="n"/>
      <c r="D20" s="2" t="n"/>
      <c r="E20" s="2" t="n"/>
      <c r="F20" s="2" t="n"/>
      <c r="G20" s="3">
        <f>IF(D20="","",IF(E20="",0,1))</f>
        <v/>
      </c>
      <c r="H20" s="4">
        <f>IF(D20="","",IF(E20="",0,1/E20))</f>
        <v/>
      </c>
      <c r="I20" s="5">
        <f>IF(OR(D20="",F20=""),"",F20/D20)</f>
        <v/>
      </c>
      <c r="J20" s="2" t="n"/>
    </row>
    <row r="21">
      <c r="A21" s="2" t="n">
        <v>20</v>
      </c>
      <c r="B21" s="2" t="n"/>
      <c r="C21" s="2" t="n"/>
      <c r="D21" s="2" t="n"/>
      <c r="E21" s="2" t="n"/>
      <c r="F21" s="2" t="n"/>
      <c r="G21" s="3">
        <f>IF(D21="","",IF(E21="",0,1))</f>
        <v/>
      </c>
      <c r="H21" s="4">
        <f>IF(D21="","",IF(E21="",0,1/E21))</f>
        <v/>
      </c>
      <c r="I21" s="5">
        <f>IF(OR(D21="",F21=""),"",F21/D21)</f>
        <v/>
      </c>
      <c r="J21" s="2" t="n"/>
    </row>
    <row r="22">
      <c r="A22" s="2" t="n">
        <v>21</v>
      </c>
      <c r="B22" s="2" t="n"/>
      <c r="C22" s="2" t="n"/>
      <c r="D22" s="2" t="n"/>
      <c r="E22" s="2" t="n"/>
      <c r="F22" s="2" t="n"/>
      <c r="G22" s="3">
        <f>IF(D22="","",IF(E22="",0,1))</f>
        <v/>
      </c>
      <c r="H22" s="4">
        <f>IF(D22="","",IF(E22="",0,1/E22))</f>
        <v/>
      </c>
      <c r="I22" s="5">
        <f>IF(OR(D22="",F22=""),"",F22/D22)</f>
        <v/>
      </c>
      <c r="J22" s="2" t="n"/>
    </row>
    <row r="23">
      <c r="A23" s="2" t="n">
        <v>22</v>
      </c>
      <c r="B23" s="2" t="n"/>
      <c r="C23" s="2" t="n"/>
      <c r="D23" s="2" t="n"/>
      <c r="E23" s="2" t="n"/>
      <c r="F23" s="2" t="n"/>
      <c r="G23" s="3">
        <f>IF(D23="","",IF(E23="",0,1))</f>
        <v/>
      </c>
      <c r="H23" s="4">
        <f>IF(D23="","",IF(E23="",0,1/E23))</f>
        <v/>
      </c>
      <c r="I23" s="5">
        <f>IF(OR(D23="",F23=""),"",F23/D23)</f>
        <v/>
      </c>
      <c r="J23" s="2" t="n"/>
    </row>
    <row r="24">
      <c r="A24" s="2" t="n">
        <v>23</v>
      </c>
      <c r="B24" s="2" t="n"/>
      <c r="C24" s="2" t="n"/>
      <c r="D24" s="2" t="n"/>
      <c r="E24" s="2" t="n"/>
      <c r="F24" s="2" t="n"/>
      <c r="G24" s="3">
        <f>IF(D24="","",IF(E24="",0,1))</f>
        <v/>
      </c>
      <c r="H24" s="4">
        <f>IF(D24="","",IF(E24="",0,1/E24))</f>
        <v/>
      </c>
      <c r="I24" s="5">
        <f>IF(OR(D24="",F24=""),"",F24/D24)</f>
        <v/>
      </c>
      <c r="J24" s="2" t="n"/>
    </row>
    <row r="25">
      <c r="A25" s="2" t="n">
        <v>24</v>
      </c>
      <c r="B25" s="2" t="n"/>
      <c r="C25" s="2" t="n"/>
      <c r="D25" s="2" t="n"/>
      <c r="E25" s="2" t="n"/>
      <c r="F25" s="2" t="n"/>
      <c r="G25" s="3">
        <f>IF(D25="","",IF(E25="",0,1))</f>
        <v/>
      </c>
      <c r="H25" s="4">
        <f>IF(D25="","",IF(E25="",0,1/E25))</f>
        <v/>
      </c>
      <c r="I25" s="5">
        <f>IF(OR(D25="",F25=""),"",F25/D25)</f>
        <v/>
      </c>
      <c r="J25" s="2" t="n"/>
    </row>
    <row r="26">
      <c r="A26" s="2" t="n">
        <v>25</v>
      </c>
      <c r="B26" s="2" t="n"/>
      <c r="C26" s="2" t="n"/>
      <c r="D26" s="2" t="n"/>
      <c r="E26" s="2" t="n"/>
      <c r="F26" s="2" t="n"/>
      <c r="G26" s="3">
        <f>IF(D26="","",IF(E26="",0,1))</f>
        <v/>
      </c>
      <c r="H26" s="4">
        <f>IF(D26="","",IF(E26="",0,1/E26))</f>
        <v/>
      </c>
      <c r="I26" s="5">
        <f>IF(OR(D26="",F26=""),"",F26/D26)</f>
        <v/>
      </c>
      <c r="J26" s="2" t="n"/>
    </row>
    <row r="27">
      <c r="A27" s="2" t="n">
        <v>26</v>
      </c>
      <c r="B27" s="2" t="n"/>
      <c r="C27" s="2" t="n"/>
      <c r="D27" s="2" t="n"/>
      <c r="E27" s="2" t="n"/>
      <c r="F27" s="2" t="n"/>
      <c r="G27" s="3">
        <f>IF(D27="","",IF(E27="",0,1))</f>
        <v/>
      </c>
      <c r="H27" s="4">
        <f>IF(D27="","",IF(E27="",0,1/E27))</f>
        <v/>
      </c>
      <c r="I27" s="5">
        <f>IF(OR(D27="",F27=""),"",F27/D27)</f>
        <v/>
      </c>
      <c r="J27" s="2" t="n"/>
    </row>
    <row r="28">
      <c r="A28" s="2" t="n">
        <v>27</v>
      </c>
      <c r="B28" s="2" t="n"/>
      <c r="C28" s="2" t="n"/>
      <c r="D28" s="2" t="n"/>
      <c r="E28" s="2" t="n"/>
      <c r="F28" s="2" t="n"/>
      <c r="G28" s="3">
        <f>IF(D28="","",IF(E28="",0,1))</f>
        <v/>
      </c>
      <c r="H28" s="4">
        <f>IF(D28="","",IF(E28="",0,1/E28))</f>
        <v/>
      </c>
      <c r="I28" s="5">
        <f>IF(OR(D28="",F28=""),"",F28/D28)</f>
        <v/>
      </c>
      <c r="J28" s="2" t="n"/>
    </row>
    <row r="29">
      <c r="A29" s="2" t="n">
        <v>28</v>
      </c>
      <c r="B29" s="2" t="n"/>
      <c r="C29" s="2" t="n"/>
      <c r="D29" s="2" t="n"/>
      <c r="E29" s="2" t="n"/>
      <c r="F29" s="2" t="n"/>
      <c r="G29" s="3">
        <f>IF(D29="","",IF(E29="",0,1))</f>
        <v/>
      </c>
      <c r="H29" s="4">
        <f>IF(D29="","",IF(E29="",0,1/E29))</f>
        <v/>
      </c>
      <c r="I29" s="5">
        <f>IF(OR(D29="",F29=""),"",F29/D29)</f>
        <v/>
      </c>
      <c r="J29" s="2" t="n"/>
    </row>
    <row r="30">
      <c r="A30" s="2" t="n">
        <v>29</v>
      </c>
      <c r="B30" s="2" t="n"/>
      <c r="C30" s="2" t="n"/>
      <c r="D30" s="2" t="n"/>
      <c r="E30" s="2" t="n"/>
      <c r="F30" s="2" t="n"/>
      <c r="G30" s="3">
        <f>IF(D30="","",IF(E30="",0,1))</f>
        <v/>
      </c>
      <c r="H30" s="4">
        <f>IF(D30="","",IF(E30="",0,1/E30))</f>
        <v/>
      </c>
      <c r="I30" s="5">
        <f>IF(OR(D30="",F30=""),"",F30/D30)</f>
        <v/>
      </c>
      <c r="J30" s="2" t="n"/>
    </row>
    <row r="31">
      <c r="A31" s="2" t="n">
        <v>30</v>
      </c>
      <c r="B31" s="2" t="n"/>
      <c r="C31" s="2" t="n"/>
      <c r="D31" s="2" t="n"/>
      <c r="E31" s="2" t="n"/>
      <c r="F31" s="2" t="n"/>
      <c r="G31" s="3">
        <f>IF(D31="","",IF(E31="",0,1))</f>
        <v/>
      </c>
      <c r="H31" s="4">
        <f>IF(D31="","",IF(E31="",0,1/E31))</f>
        <v/>
      </c>
      <c r="I31" s="5">
        <f>IF(OR(D31="",F31=""),"",F31/D31)</f>
        <v/>
      </c>
      <c r="J31" s="2" t="n"/>
    </row>
  </sheetData>
  <dataValidations count="2">
    <dataValidation sqref="D2:D31 F2:F31" showDropDown="0" showInputMessage="0" showErrorMessage="1" allowBlank="1" errorTitle="Whole number" error="Enter a whole number." type="whole" operator="greaterThanOrEqual">
      <formula1>0</formula1>
    </dataValidation>
    <dataValidation sqref="E2:E31" showDropDown="0" showInputMessage="0" showErrorMessage="1" allowBlank="1" errorTitle="Rank" error="Enter the position of the first correct chunk (1 or more), or leave blank if it was not found." type="whole" operator="greaterThanOrEqual">
      <formula1>1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cols>
    <col width="58" customWidth="1" min="1" max="1"/>
    <col width="48" customWidth="1" min="2" max="2"/>
  </cols>
  <sheetData>
    <row r="1">
      <c r="A1" s="6" t="inlineStr">
        <is>
          <t>Retrieval quality scorecard</t>
        </is>
      </c>
    </row>
    <row r="2">
      <c r="A2" s="7" t="inlineStr">
        <is>
          <t>Measure</t>
        </is>
      </c>
      <c r="B2" s="7" t="inlineStr">
        <is>
          <t>Value</t>
        </is>
      </c>
    </row>
    <row r="3">
      <c r="A3" t="inlineStr">
        <is>
          <t>Queries scored</t>
        </is>
      </c>
      <c r="B3" s="8">
        <f>COUNT(Queries!G2:G31)</f>
        <v/>
      </c>
    </row>
    <row r="4">
      <c r="A4" t="inlineStr">
        <is>
          <t>Hit rate (known source found anywhere in the kept chunks)</t>
        </is>
      </c>
      <c r="B4" s="9">
        <f>IF(B3=0,"",SUM(Queries!G2:G31)/B3)</f>
        <v/>
      </c>
    </row>
    <row r="5">
      <c r="A5" t="inlineStr">
        <is>
          <t>Queries where the source was not found</t>
        </is>
      </c>
      <c r="B5" s="8">
        <f>B3-SUM(Queries!G2:G31)</f>
        <v/>
      </c>
    </row>
    <row r="6">
      <c r="A6" t="inlineStr">
        <is>
          <t>Average rank when found</t>
        </is>
      </c>
      <c r="B6" s="10">
        <f>IFERROR(AVERAGE(Queries!E2:E31),"")</f>
        <v/>
      </c>
    </row>
    <row r="7">
      <c r="A7" t="inlineStr">
        <is>
          <t>Mean reciprocal rank (not found counts as 0)</t>
        </is>
      </c>
      <c r="B7" s="11">
        <f>IF(B3=0,"",AVERAGE(Queries!H2:H31))</f>
        <v/>
      </c>
    </row>
    <row r="8">
      <c r="A8" t="inlineStr">
        <is>
          <t>Mean precision (relevant chunks over chunks kept)</t>
        </is>
      </c>
      <c r="B8" s="9">
        <f>IFERROR(AVERAGE(Queries!I2:I31),"")</f>
        <v/>
      </c>
    </row>
    <row r="11">
      <c r="A11" s="12" t="inlineStr">
        <is>
          <t>Checks (all should read OK)</t>
        </is>
      </c>
    </row>
    <row r="12">
      <c r="A12" t="inlineStr">
        <is>
          <t>Every scored query has its relevant-chunk count</t>
        </is>
      </c>
      <c r="B12">
        <f>IF(SUMPRODUCT((Queries!D2:D31&lt;&gt;"")*(Queries!F2:F31=""))=0,"OK","CHECK: a scored query has no relevant-chunk count")</f>
        <v/>
      </c>
    </row>
    <row r="13">
      <c r="A13" t="inlineStr">
        <is>
          <t>No rank beyond the chunks kept</t>
        </is>
      </c>
      <c r="B13">
        <f>IF(SUMPRODUCT((Queries!E2:E31&lt;&gt;"")*(Queries!E2:E31&gt;Queries!D2:D31))=0,"OK","CHECK: a rank is larger than k")</f>
        <v/>
      </c>
    </row>
    <row r="14">
      <c r="A14" t="inlineStr">
        <is>
          <t>No more relevant chunks than chunks kept</t>
        </is>
      </c>
      <c r="B14">
        <f>IF(SUMPRODUCT((Queries!F2:F31&gt;Queries!D2:D31))=0,"OK","CHECK: relevant count is larger than k")</f>
        <v/>
      </c>
    </row>
    <row r="15">
      <c r="A15" t="inlineStr">
        <is>
          <t>A found source counts as at least one relevant chunk</t>
        </is>
      </c>
      <c r="B15">
        <f>IF(SUMPRODUCT((Queries!E2:E31&lt;&gt;"")*(Queries!F2:F31=0))=0,"OK","CHECK: source found but zero relevant chunks")</f>
        <v/>
      </c>
    </row>
    <row r="17">
      <c r="A17" s="13" t="inlineStr">
        <is>
          <t>This scores retrieval only. Score the final answers separately against the rubric (A05).</t>
        </is>
      </c>
    </row>
    <row r="18"/>
  </sheetData>
  <mergeCells count="1">
    <mergeCell ref="A17:B18"/>
  </mergeCells>
  <conditionalFormatting sqref="B12:B15">
    <cfRule type="expression" priority="1" dxfId="0">
      <formula>LEFT(B12,5)="CHECK"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2026-10-30T22:18:24Z</dcterms:created>
  <dcterms:modified xmlns:dcterms="http://purl.org/dc/terms/" xmlns:xsi="http://www.w3.org/2001/XMLSchema-instance" xsi:type="dcterms:W3CDTF">2026-10-30T22:18:24Z</dcterms:modified>
</cp:coreProperties>
</file>