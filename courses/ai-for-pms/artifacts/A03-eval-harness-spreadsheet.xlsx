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B4F8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</cols>
  <sheetData>
    <row r="1">
      <c r="A1" s="1" t="inlineStr">
        <is>
          <t>Case</t>
        </is>
      </c>
      <c r="B1" s="1" t="inlineStr">
        <is>
          <t>Bucket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Overall</t>
        </is>
      </c>
    </row>
    <row r="2">
      <c r="A2" s="2" t="n"/>
      <c r="B2" s="2" t="n"/>
      <c r="C2" s="3" t="n"/>
      <c r="D2" s="3" t="n"/>
      <c r="E2" s="3" t="n"/>
      <c r="F2" s="3" t="n"/>
      <c r="G2" s="3" t="n"/>
      <c r="H2" s="3" t="n"/>
      <c r="I2" s="4">
        <f>IF(COUNT(C2:H2)=0,"",IF(COUNT(C2:H2)&lt;6,"incomplete",IF(SUM(C2:H2)=6,1,0)))</f>
        <v/>
      </c>
    </row>
    <row r="3">
      <c r="A3" s="2" t="n"/>
      <c r="B3" s="2" t="n"/>
      <c r="C3" s="3" t="n"/>
      <c r="D3" s="3" t="n"/>
      <c r="E3" s="3" t="n"/>
      <c r="F3" s="3" t="n"/>
      <c r="G3" s="3" t="n"/>
      <c r="H3" s="3" t="n"/>
      <c r="I3" s="4">
        <f>IF(COUNT(C3:H3)=0,"",IF(COUNT(C3:H3)&lt;6,"incomplete",IF(SUM(C3:H3)=6,1,0)))</f>
        <v/>
      </c>
    </row>
    <row r="4">
      <c r="A4" s="2" t="n"/>
      <c r="B4" s="2" t="n"/>
      <c r="C4" s="3" t="n"/>
      <c r="D4" s="3" t="n"/>
      <c r="E4" s="3" t="n"/>
      <c r="F4" s="3" t="n"/>
      <c r="G4" s="3" t="n"/>
      <c r="H4" s="3" t="n"/>
      <c r="I4" s="4">
        <f>IF(COUNT(C4:H4)=0,"",IF(COUNT(C4:H4)&lt;6,"incomplete",IF(SUM(C4:H4)=6,1,0)))</f>
        <v/>
      </c>
    </row>
    <row r="5">
      <c r="A5" s="2" t="n"/>
      <c r="B5" s="2" t="n"/>
      <c r="C5" s="3" t="n"/>
      <c r="D5" s="3" t="n"/>
      <c r="E5" s="3" t="n"/>
      <c r="F5" s="3" t="n"/>
      <c r="G5" s="3" t="n"/>
      <c r="H5" s="3" t="n"/>
      <c r="I5" s="4">
        <f>IF(COUNT(C5:H5)=0,"",IF(COUNT(C5:H5)&lt;6,"incomplete",IF(SUM(C5:H5)=6,1,0)))</f>
        <v/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4">
        <f>IF(COUNT(C6:H6)=0,"",IF(COUNT(C6:H6)&lt;6,"incomplete",IF(SUM(C6:H6)=6,1,0)))</f>
        <v/>
      </c>
    </row>
    <row r="7">
      <c r="A7" s="2" t="n"/>
      <c r="B7" s="2" t="n"/>
      <c r="C7" s="3" t="n"/>
      <c r="D7" s="3" t="n"/>
      <c r="E7" s="3" t="n"/>
      <c r="F7" s="3" t="n"/>
      <c r="G7" s="3" t="n"/>
      <c r="H7" s="3" t="n"/>
      <c r="I7" s="4">
        <f>IF(COUNT(C7:H7)=0,"",IF(COUNT(C7:H7)&lt;6,"incomplete",IF(SUM(C7:H7)=6,1,0)))</f>
        <v/>
      </c>
    </row>
    <row r="8">
      <c r="A8" s="2" t="n"/>
      <c r="B8" s="2" t="n"/>
      <c r="C8" s="3" t="n"/>
      <c r="D8" s="3" t="n"/>
      <c r="E8" s="3" t="n"/>
      <c r="F8" s="3" t="n"/>
      <c r="G8" s="3" t="n"/>
      <c r="H8" s="3" t="n"/>
      <c r="I8" s="4">
        <f>IF(COUNT(C8:H8)=0,"",IF(COUNT(C8:H8)&lt;6,"incomplete",IF(SUM(C8:H8)=6,1,0)))</f>
        <v/>
      </c>
    </row>
    <row r="9">
      <c r="A9" s="2" t="n"/>
      <c r="B9" s="2" t="n"/>
      <c r="C9" s="3" t="n"/>
      <c r="D9" s="3" t="n"/>
      <c r="E9" s="3" t="n"/>
      <c r="F9" s="3" t="n"/>
      <c r="G9" s="3" t="n"/>
      <c r="H9" s="3" t="n"/>
      <c r="I9" s="4">
        <f>IF(COUNT(C9:H9)=0,"",IF(COUNT(C9:H9)&lt;6,"incomplete",IF(SUM(C9:H9)=6,1,0)))</f>
        <v/>
      </c>
    </row>
    <row r="10">
      <c r="A10" s="2" t="n"/>
      <c r="B10" s="2" t="n"/>
      <c r="C10" s="3" t="n"/>
      <c r="D10" s="3" t="n"/>
      <c r="E10" s="3" t="n"/>
      <c r="F10" s="3" t="n"/>
      <c r="G10" s="3" t="n"/>
      <c r="H10" s="3" t="n"/>
      <c r="I10" s="4">
        <f>IF(COUNT(C10:H10)=0,"",IF(COUNT(C10:H10)&lt;6,"incomplete",IF(SUM(C10:H10)=6,1,0)))</f>
        <v/>
      </c>
    </row>
    <row r="11">
      <c r="A11" s="2" t="n"/>
      <c r="B11" s="2" t="n"/>
      <c r="C11" s="3" t="n"/>
      <c r="D11" s="3" t="n"/>
      <c r="E11" s="3" t="n"/>
      <c r="F11" s="3" t="n"/>
      <c r="G11" s="3" t="n"/>
      <c r="H11" s="3" t="n"/>
      <c r="I11" s="4">
        <f>IF(COUNT(C11:H11)=0,"",IF(COUNT(C11:H11)&lt;6,"incomplete",IF(SUM(C11:H11)=6,1,0)))</f>
        <v/>
      </c>
    </row>
    <row r="12">
      <c r="A12" s="2" t="n"/>
      <c r="B12" s="2" t="n"/>
      <c r="C12" s="3" t="n"/>
      <c r="D12" s="3" t="n"/>
      <c r="E12" s="3" t="n"/>
      <c r="F12" s="3" t="n"/>
      <c r="G12" s="3" t="n"/>
      <c r="H12" s="3" t="n"/>
      <c r="I12" s="4">
        <f>IF(COUNT(C12:H12)=0,"",IF(COUNT(C12:H12)&lt;6,"incomplete",IF(SUM(C12:H12)=6,1,0)))</f>
        <v/>
      </c>
    </row>
    <row r="13">
      <c r="A13" s="2" t="n"/>
      <c r="B13" s="2" t="n"/>
      <c r="C13" s="3" t="n"/>
      <c r="D13" s="3" t="n"/>
      <c r="E13" s="3" t="n"/>
      <c r="F13" s="3" t="n"/>
      <c r="G13" s="3" t="n"/>
      <c r="H13" s="3" t="n"/>
      <c r="I13" s="4">
        <f>IF(COUNT(C13:H13)=0,"",IF(COUNT(C13:H13)&lt;6,"incomplete",IF(SUM(C13:H13)=6,1,0)))</f>
        <v/>
      </c>
    </row>
    <row r="14">
      <c r="A14" s="2" t="n"/>
      <c r="B14" s="2" t="n"/>
      <c r="C14" s="3" t="n"/>
      <c r="D14" s="3" t="n"/>
      <c r="E14" s="3" t="n"/>
      <c r="F14" s="3" t="n"/>
      <c r="G14" s="3" t="n"/>
      <c r="H14" s="3" t="n"/>
      <c r="I14" s="4">
        <f>IF(COUNT(C14:H14)=0,"",IF(COUNT(C14:H14)&lt;6,"incomplete",IF(SUM(C14:H14)=6,1,0)))</f>
        <v/>
      </c>
    </row>
    <row r="15">
      <c r="A15" s="2" t="n"/>
      <c r="B15" s="2" t="n"/>
      <c r="C15" s="3" t="n"/>
      <c r="D15" s="3" t="n"/>
      <c r="E15" s="3" t="n"/>
      <c r="F15" s="3" t="n"/>
      <c r="G15" s="3" t="n"/>
      <c r="H15" s="3" t="n"/>
      <c r="I15" s="4">
        <f>IF(COUNT(C15:H15)=0,"",IF(COUNT(C15:H15)&lt;6,"incomplete",IF(SUM(C15:H15)=6,1,0)))</f>
        <v/>
      </c>
    </row>
    <row r="16">
      <c r="A16" s="2" t="n"/>
      <c r="B16" s="2" t="n"/>
      <c r="C16" s="3" t="n"/>
      <c r="D16" s="3" t="n"/>
      <c r="E16" s="3" t="n"/>
      <c r="F16" s="3" t="n"/>
      <c r="G16" s="3" t="n"/>
      <c r="H16" s="3" t="n"/>
      <c r="I16" s="4">
        <f>IF(COUNT(C16:H16)=0,"",IF(COUNT(C16:H16)&lt;6,"incomplete",IF(SUM(C16:H16)=6,1,0)))</f>
        <v/>
      </c>
    </row>
    <row r="17">
      <c r="A17" s="2" t="n"/>
      <c r="B17" s="2" t="n"/>
      <c r="C17" s="3" t="n"/>
      <c r="D17" s="3" t="n"/>
      <c r="E17" s="3" t="n"/>
      <c r="F17" s="3" t="n"/>
      <c r="G17" s="3" t="n"/>
      <c r="H17" s="3" t="n"/>
      <c r="I17" s="4">
        <f>IF(COUNT(C17:H17)=0,"",IF(COUNT(C17:H17)&lt;6,"incomplete",IF(SUM(C17:H17)=6,1,0)))</f>
        <v/>
      </c>
    </row>
    <row r="18">
      <c r="A18" s="2" t="n"/>
      <c r="B18" s="2" t="n"/>
      <c r="C18" s="3" t="n"/>
      <c r="D18" s="3" t="n"/>
      <c r="E18" s="3" t="n"/>
      <c r="F18" s="3" t="n"/>
      <c r="G18" s="3" t="n"/>
      <c r="H18" s="3" t="n"/>
      <c r="I18" s="4">
        <f>IF(COUNT(C18:H18)=0,"",IF(COUNT(C18:H18)&lt;6,"incomplete",IF(SUM(C18:H18)=6,1,0)))</f>
        <v/>
      </c>
    </row>
    <row r="19">
      <c r="A19" s="2" t="n"/>
      <c r="B19" s="2" t="n"/>
      <c r="C19" s="3" t="n"/>
      <c r="D19" s="3" t="n"/>
      <c r="E19" s="3" t="n"/>
      <c r="F19" s="3" t="n"/>
      <c r="G19" s="3" t="n"/>
      <c r="H19" s="3" t="n"/>
      <c r="I19" s="4">
        <f>IF(COUNT(C19:H19)=0,"",IF(COUNT(C19:H19)&lt;6,"incomplete",IF(SUM(C19:H19)=6,1,0)))</f>
        <v/>
      </c>
    </row>
    <row r="20">
      <c r="A20" s="2" t="n"/>
      <c r="B20" s="2" t="n"/>
      <c r="C20" s="3" t="n"/>
      <c r="D20" s="3" t="n"/>
      <c r="E20" s="3" t="n"/>
      <c r="F20" s="3" t="n"/>
      <c r="G20" s="3" t="n"/>
      <c r="H20" s="3" t="n"/>
      <c r="I20" s="4">
        <f>IF(COUNT(C20:H20)=0,"",IF(COUNT(C20:H20)&lt;6,"incomplete",IF(SUM(C20:H20)=6,1,0)))</f>
        <v/>
      </c>
    </row>
    <row r="21">
      <c r="A21" s="2" t="n"/>
      <c r="B21" s="2" t="n"/>
      <c r="C21" s="3" t="n"/>
      <c r="D21" s="3" t="n"/>
      <c r="E21" s="3" t="n"/>
      <c r="F21" s="3" t="n"/>
      <c r="G21" s="3" t="n"/>
      <c r="H21" s="3" t="n"/>
      <c r="I21" s="4">
        <f>IF(COUNT(C21:H21)=0,"",IF(COUNT(C21:H21)&lt;6,"incomplete",IF(SUM(C21:H21)=6,1,0)))</f>
        <v/>
      </c>
    </row>
    <row r="22">
      <c r="A22" s="2" t="n"/>
      <c r="B22" s="2" t="n"/>
      <c r="C22" s="3" t="n"/>
      <c r="D22" s="3" t="n"/>
      <c r="E22" s="3" t="n"/>
      <c r="F22" s="3" t="n"/>
      <c r="G22" s="3" t="n"/>
      <c r="H22" s="3" t="n"/>
      <c r="I22" s="4">
        <f>IF(COUNT(C22:H22)=0,"",IF(COUNT(C22:H22)&lt;6,"incomplete",IF(SUM(C22:H22)=6,1,0)))</f>
        <v/>
      </c>
    </row>
    <row r="23">
      <c r="A23" s="2" t="n"/>
      <c r="B23" s="2" t="n"/>
      <c r="C23" s="3" t="n"/>
      <c r="D23" s="3" t="n"/>
      <c r="E23" s="3" t="n"/>
      <c r="F23" s="3" t="n"/>
      <c r="G23" s="3" t="n"/>
      <c r="H23" s="3" t="n"/>
      <c r="I23" s="4">
        <f>IF(COUNT(C23:H23)=0,"",IF(COUNT(C23:H23)&lt;6,"incomplete",IF(SUM(C23:H23)=6,1,0)))</f>
        <v/>
      </c>
    </row>
    <row r="24">
      <c r="A24" s="2" t="n"/>
      <c r="B24" s="2" t="n"/>
      <c r="C24" s="3" t="n"/>
      <c r="D24" s="3" t="n"/>
      <c r="E24" s="3" t="n"/>
      <c r="F24" s="3" t="n"/>
      <c r="G24" s="3" t="n"/>
      <c r="H24" s="3" t="n"/>
      <c r="I24" s="4">
        <f>IF(COUNT(C24:H24)=0,"",IF(COUNT(C24:H24)&lt;6,"incomplete",IF(SUM(C24:H24)=6,1,0)))</f>
        <v/>
      </c>
    </row>
    <row r="25">
      <c r="A25" s="2" t="n"/>
      <c r="B25" s="2" t="n"/>
      <c r="C25" s="3" t="n"/>
      <c r="D25" s="3" t="n"/>
      <c r="E25" s="3" t="n"/>
      <c r="F25" s="3" t="n"/>
      <c r="G25" s="3" t="n"/>
      <c r="H25" s="3" t="n"/>
      <c r="I25" s="4">
        <f>IF(COUNT(C25:H25)=0,"",IF(COUNT(C25:H25)&lt;6,"incomplete",IF(SUM(C25:H25)=6,1,0)))</f>
        <v/>
      </c>
    </row>
    <row r="26">
      <c r="A26" s="2" t="n"/>
      <c r="B26" s="2" t="n"/>
      <c r="C26" s="3" t="n"/>
      <c r="D26" s="3" t="n"/>
      <c r="E26" s="3" t="n"/>
      <c r="F26" s="3" t="n"/>
      <c r="G26" s="3" t="n"/>
      <c r="H26" s="3" t="n"/>
      <c r="I26" s="4">
        <f>IF(COUNT(C26:H26)=0,"",IF(COUNT(C26:H26)&lt;6,"incomplete",IF(SUM(C26:H26)=6,1,0)))</f>
        <v/>
      </c>
    </row>
    <row r="27">
      <c r="A27" s="2" t="n"/>
      <c r="B27" s="2" t="n"/>
      <c r="C27" s="3" t="n"/>
      <c r="D27" s="3" t="n"/>
      <c r="E27" s="3" t="n"/>
      <c r="F27" s="3" t="n"/>
      <c r="G27" s="3" t="n"/>
      <c r="H27" s="3" t="n"/>
      <c r="I27" s="4">
        <f>IF(COUNT(C27:H27)=0,"",IF(COUNT(C27:H27)&lt;6,"incomplete",IF(SUM(C27:H27)=6,1,0)))</f>
        <v/>
      </c>
    </row>
    <row r="28">
      <c r="A28" s="2" t="n"/>
      <c r="B28" s="2" t="n"/>
      <c r="C28" s="3" t="n"/>
      <c r="D28" s="3" t="n"/>
      <c r="E28" s="3" t="n"/>
      <c r="F28" s="3" t="n"/>
      <c r="G28" s="3" t="n"/>
      <c r="H28" s="3" t="n"/>
      <c r="I28" s="4">
        <f>IF(COUNT(C28:H28)=0,"",IF(COUNT(C28:H28)&lt;6,"incomplete",IF(SUM(C28:H28)=6,1,0)))</f>
        <v/>
      </c>
    </row>
    <row r="29">
      <c r="A29" s="2" t="n"/>
      <c r="B29" s="2" t="n"/>
      <c r="C29" s="3" t="n"/>
      <c r="D29" s="3" t="n"/>
      <c r="E29" s="3" t="n"/>
      <c r="F29" s="3" t="n"/>
      <c r="G29" s="3" t="n"/>
      <c r="H29" s="3" t="n"/>
      <c r="I29" s="4">
        <f>IF(COUNT(C29:H29)=0,"",IF(COUNT(C29:H29)&lt;6,"incomplete",IF(SUM(C29:H29)=6,1,0)))</f>
        <v/>
      </c>
    </row>
    <row r="30">
      <c r="A30" s="2" t="n"/>
      <c r="B30" s="2" t="n"/>
      <c r="C30" s="3" t="n"/>
      <c r="D30" s="3" t="n"/>
      <c r="E30" s="3" t="n"/>
      <c r="F30" s="3" t="n"/>
      <c r="G30" s="3" t="n"/>
      <c r="H30" s="3" t="n"/>
      <c r="I30" s="4">
        <f>IF(COUNT(C30:H30)=0,"",IF(COUNT(C30:H30)&lt;6,"incomplete",IF(SUM(C30:H30)=6,1,0)))</f>
        <v/>
      </c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  <c r="I31" s="4">
        <f>IF(COUNT(C31:H31)=0,"",IF(COUNT(C31:H31)&lt;6,"incomplete",IF(SUM(C31:H31)=6,1,0)))</f>
        <v/>
      </c>
    </row>
    <row r="32">
      <c r="A32" s="2" t="n"/>
      <c r="B32" s="2" t="n"/>
      <c r="C32" s="3" t="n"/>
      <c r="D32" s="3" t="n"/>
      <c r="E32" s="3" t="n"/>
      <c r="F32" s="3" t="n"/>
      <c r="G32" s="3" t="n"/>
      <c r="H32" s="3" t="n"/>
      <c r="I32" s="4">
        <f>IF(COUNT(C32:H32)=0,"",IF(COUNT(C32:H32)&lt;6,"incomplete",IF(SUM(C32:H32)=6,1,0)))</f>
        <v/>
      </c>
    </row>
    <row r="33">
      <c r="A33" s="2" t="n"/>
      <c r="B33" s="2" t="n"/>
      <c r="C33" s="3" t="n"/>
      <c r="D33" s="3" t="n"/>
      <c r="E33" s="3" t="n"/>
      <c r="F33" s="3" t="n"/>
      <c r="G33" s="3" t="n"/>
      <c r="H33" s="3" t="n"/>
      <c r="I33" s="4">
        <f>IF(COUNT(C33:H33)=0,"",IF(COUNT(C33:H33)&lt;6,"incomplete",IF(SUM(C33:H33)=6,1,0)))</f>
        <v/>
      </c>
    </row>
    <row r="34">
      <c r="A34" s="2" t="n"/>
      <c r="B34" s="2" t="n"/>
      <c r="C34" s="3" t="n"/>
      <c r="D34" s="3" t="n"/>
      <c r="E34" s="3" t="n"/>
      <c r="F34" s="3" t="n"/>
      <c r="G34" s="3" t="n"/>
      <c r="H34" s="3" t="n"/>
      <c r="I34" s="4">
        <f>IF(COUNT(C34:H34)=0,"",IF(COUNT(C34:H34)&lt;6,"incomplete",IF(SUM(C34:H34)=6,1,0)))</f>
        <v/>
      </c>
    </row>
    <row r="35">
      <c r="A35" s="2" t="n"/>
      <c r="B35" s="2" t="n"/>
      <c r="C35" s="3" t="n"/>
      <c r="D35" s="3" t="n"/>
      <c r="E35" s="3" t="n"/>
      <c r="F35" s="3" t="n"/>
      <c r="G35" s="3" t="n"/>
      <c r="H35" s="3" t="n"/>
      <c r="I35" s="4">
        <f>IF(COUNT(C35:H35)=0,"",IF(COUNT(C35:H35)&lt;6,"incomplete",IF(SUM(C35:H35)=6,1,0)))</f>
        <v/>
      </c>
    </row>
    <row r="36">
      <c r="A36" s="2" t="n"/>
      <c r="B36" s="2" t="n"/>
      <c r="C36" s="3" t="n"/>
      <c r="D36" s="3" t="n"/>
      <c r="E36" s="3" t="n"/>
      <c r="F36" s="3" t="n"/>
      <c r="G36" s="3" t="n"/>
      <c r="H36" s="3" t="n"/>
      <c r="I36" s="4">
        <f>IF(COUNT(C36:H36)=0,"",IF(COUNT(C36:H36)&lt;6,"incomplete",IF(SUM(C36:H36)=6,1,0)))</f>
        <v/>
      </c>
    </row>
    <row r="37">
      <c r="A37" s="2" t="n"/>
      <c r="B37" s="2" t="n"/>
      <c r="C37" s="3" t="n"/>
      <c r="D37" s="3" t="n"/>
      <c r="E37" s="3" t="n"/>
      <c r="F37" s="3" t="n"/>
      <c r="G37" s="3" t="n"/>
      <c r="H37" s="3" t="n"/>
      <c r="I37" s="4">
        <f>IF(COUNT(C37:H37)=0,"",IF(COUNT(C37:H37)&lt;6,"incomplete",IF(SUM(C37:H37)=6,1,0)))</f>
        <v/>
      </c>
    </row>
    <row r="38">
      <c r="A38" s="2" t="n"/>
      <c r="B38" s="2" t="n"/>
      <c r="C38" s="3" t="n"/>
      <c r="D38" s="3" t="n"/>
      <c r="E38" s="3" t="n"/>
      <c r="F38" s="3" t="n"/>
      <c r="G38" s="3" t="n"/>
      <c r="H38" s="3" t="n"/>
      <c r="I38" s="4">
        <f>IF(COUNT(C38:H38)=0,"",IF(COUNT(C38:H38)&lt;6,"incomplete",IF(SUM(C38:H38)=6,1,0)))</f>
        <v/>
      </c>
    </row>
    <row r="39">
      <c r="A39" s="2" t="n"/>
      <c r="B39" s="2" t="n"/>
      <c r="C39" s="3" t="n"/>
      <c r="D39" s="3" t="n"/>
      <c r="E39" s="3" t="n"/>
      <c r="F39" s="3" t="n"/>
      <c r="G39" s="3" t="n"/>
      <c r="H39" s="3" t="n"/>
      <c r="I39" s="4">
        <f>IF(COUNT(C39:H39)=0,"",IF(COUNT(C39:H39)&lt;6,"incomplete",IF(SUM(C39:H39)=6,1,0)))</f>
        <v/>
      </c>
    </row>
    <row r="40">
      <c r="A40" s="2" t="n"/>
      <c r="B40" s="2" t="n"/>
      <c r="C40" s="3" t="n"/>
      <c r="D40" s="3" t="n"/>
      <c r="E40" s="3" t="n"/>
      <c r="F40" s="3" t="n"/>
      <c r="G40" s="3" t="n"/>
      <c r="H40" s="3" t="n"/>
      <c r="I40" s="4">
        <f>IF(COUNT(C40:H40)=0,"",IF(COUNT(C40:H40)&lt;6,"incomplete",IF(SUM(C40:H40)=6,1,0)))</f>
        <v/>
      </c>
    </row>
    <row r="41">
      <c r="A41" s="2" t="n"/>
      <c r="B41" s="2" t="n"/>
      <c r="C41" s="3" t="n"/>
      <c r="D41" s="3" t="n"/>
      <c r="E41" s="3" t="n"/>
      <c r="F41" s="3" t="n"/>
      <c r="G41" s="3" t="n"/>
      <c r="H41" s="3" t="n"/>
      <c r="I41" s="4">
        <f>IF(COUNT(C41:H41)=0,"",IF(COUNT(C41:H41)&lt;6,"incomplete",IF(SUM(C41:H41)=6,1,0)))</f>
        <v/>
      </c>
    </row>
    <row r="42">
      <c r="A42" s="2" t="n"/>
      <c r="B42" s="2" t="n"/>
      <c r="C42" s="3" t="n"/>
      <c r="D42" s="3" t="n"/>
      <c r="E42" s="3" t="n"/>
      <c r="F42" s="3" t="n"/>
      <c r="G42" s="3" t="n"/>
      <c r="H42" s="3" t="n"/>
      <c r="I42" s="4">
        <f>IF(COUNT(C42:H42)=0,"",IF(COUNT(C42:H42)&lt;6,"incomplete",IF(SUM(C42:H42)=6,1,0)))</f>
        <v/>
      </c>
    </row>
    <row r="43">
      <c r="A43" s="2" t="n"/>
      <c r="B43" s="2" t="n"/>
      <c r="C43" s="3" t="n"/>
      <c r="D43" s="3" t="n"/>
      <c r="E43" s="3" t="n"/>
      <c r="F43" s="3" t="n"/>
      <c r="G43" s="3" t="n"/>
      <c r="H43" s="3" t="n"/>
      <c r="I43" s="4">
        <f>IF(COUNT(C43:H43)=0,"",IF(COUNT(C43:H43)&lt;6,"incomplete",IF(SUM(C43:H43)=6,1,0)))</f>
        <v/>
      </c>
    </row>
    <row r="44">
      <c r="A44" s="2" t="n"/>
      <c r="B44" s="2" t="n"/>
      <c r="C44" s="3" t="n"/>
      <c r="D44" s="3" t="n"/>
      <c r="E44" s="3" t="n"/>
      <c r="F44" s="3" t="n"/>
      <c r="G44" s="3" t="n"/>
      <c r="H44" s="3" t="n"/>
      <c r="I44" s="4">
        <f>IF(COUNT(C44:H44)=0,"",IF(COUNT(C44:H44)&lt;6,"incomplete",IF(SUM(C44:H44)=6,1,0)))</f>
        <v/>
      </c>
    </row>
    <row r="45">
      <c r="A45" s="2" t="n"/>
      <c r="B45" s="2" t="n"/>
      <c r="C45" s="3" t="n"/>
      <c r="D45" s="3" t="n"/>
      <c r="E45" s="3" t="n"/>
      <c r="F45" s="3" t="n"/>
      <c r="G45" s="3" t="n"/>
      <c r="H45" s="3" t="n"/>
      <c r="I45" s="4">
        <f>IF(COUNT(C45:H45)=0,"",IF(COUNT(C45:H45)&lt;6,"incomplete",IF(SUM(C45:H45)=6,1,0)))</f>
        <v/>
      </c>
    </row>
    <row r="46">
      <c r="A46" s="2" t="n"/>
      <c r="B46" s="2" t="n"/>
      <c r="C46" s="3" t="n"/>
      <c r="D46" s="3" t="n"/>
      <c r="E46" s="3" t="n"/>
      <c r="F46" s="3" t="n"/>
      <c r="G46" s="3" t="n"/>
      <c r="H46" s="3" t="n"/>
      <c r="I46" s="4">
        <f>IF(COUNT(C46:H46)=0,"",IF(COUNT(C46:H46)&lt;6,"incomplete",IF(SUM(C46:H46)=6,1,0)))</f>
        <v/>
      </c>
    </row>
    <row r="47">
      <c r="A47" s="2" t="n"/>
      <c r="B47" s="2" t="n"/>
      <c r="C47" s="3" t="n"/>
      <c r="D47" s="3" t="n"/>
      <c r="E47" s="3" t="n"/>
      <c r="F47" s="3" t="n"/>
      <c r="G47" s="3" t="n"/>
      <c r="H47" s="3" t="n"/>
      <c r="I47" s="4">
        <f>IF(COUNT(C47:H47)=0,"",IF(COUNT(C47:H47)&lt;6,"incomplete",IF(SUM(C47:H47)=6,1,0)))</f>
        <v/>
      </c>
    </row>
    <row r="48">
      <c r="A48" s="2" t="n"/>
      <c r="B48" s="2" t="n"/>
      <c r="C48" s="3" t="n"/>
      <c r="D48" s="3" t="n"/>
      <c r="E48" s="3" t="n"/>
      <c r="F48" s="3" t="n"/>
      <c r="G48" s="3" t="n"/>
      <c r="H48" s="3" t="n"/>
      <c r="I48" s="4">
        <f>IF(COUNT(C48:H48)=0,"",IF(COUNT(C48:H48)&lt;6,"incomplete",IF(SUM(C48:H48)=6,1,0)))</f>
        <v/>
      </c>
    </row>
    <row r="49">
      <c r="A49" s="2" t="n"/>
      <c r="B49" s="2" t="n"/>
      <c r="C49" s="3" t="n"/>
      <c r="D49" s="3" t="n"/>
      <c r="E49" s="3" t="n"/>
      <c r="F49" s="3" t="n"/>
      <c r="G49" s="3" t="n"/>
      <c r="H49" s="3" t="n"/>
      <c r="I49" s="4">
        <f>IF(COUNT(C49:H49)=0,"",IF(COUNT(C49:H49)&lt;6,"incomplete",IF(SUM(C49:H49)=6,1,0)))</f>
        <v/>
      </c>
    </row>
    <row r="50">
      <c r="A50" s="2" t="n"/>
      <c r="B50" s="2" t="n"/>
      <c r="C50" s="3" t="n"/>
      <c r="D50" s="3" t="n"/>
      <c r="E50" s="3" t="n"/>
      <c r="F50" s="3" t="n"/>
      <c r="G50" s="3" t="n"/>
      <c r="H50" s="3" t="n"/>
      <c r="I50" s="4">
        <f>IF(COUNT(C50:H50)=0,"",IF(COUNT(C50:H50)&lt;6,"incomplete",IF(SUM(C50:H50)=6,1,0)))</f>
        <v/>
      </c>
    </row>
    <row r="51">
      <c r="A51" s="2" t="n"/>
      <c r="B51" s="2" t="n"/>
      <c r="C51" s="3" t="n"/>
      <c r="D51" s="3" t="n"/>
      <c r="E51" s="3" t="n"/>
      <c r="F51" s="3" t="n"/>
      <c r="G51" s="3" t="n"/>
      <c r="H51" s="3" t="n"/>
      <c r="I51" s="4">
        <f>IF(COUNT(C51:H51)=0,"",IF(COUNT(C51:H51)&lt;6,"incomplete",IF(SUM(C51:H51)=6,1,0)))</f>
        <v/>
      </c>
    </row>
    <row r="52">
      <c r="I52" s="5">
        <f>IF(COUNT(C52:H52)=0,"",IF(COUNT(C52:H52)&lt;6,"incomplete",IF(SUM(C52:H52)=6,1,0)))</f>
        <v/>
      </c>
    </row>
    <row r="53">
      <c r="I53" s="5">
        <f>IF(COUNT(C53:H53)=0,"",IF(COUNT(C53:H53)&lt;6,"incomplete",IF(SUM(C53:H53)=6,1,0)))</f>
        <v/>
      </c>
    </row>
    <row r="54">
      <c r="I54" s="5">
        <f>IF(COUNT(C54:H54)=0,"",IF(COUNT(C54:H54)&lt;6,"incomplete",IF(SUM(C54:H54)=6,1,0)))</f>
        <v/>
      </c>
    </row>
    <row r="55">
      <c r="I55" s="5">
        <f>IF(COUNT(C55:H55)=0,"",IF(COUNT(C55:H55)&lt;6,"incomplete",IF(SUM(C55:H55)=6,1,0)))</f>
        <v/>
      </c>
    </row>
    <row r="56">
      <c r="I56" s="5">
        <f>IF(COUNT(C56:H56)=0,"",IF(COUNT(C56:H56)&lt;6,"incomplete",IF(SUM(C56:H56)=6,1,0)))</f>
        <v/>
      </c>
    </row>
    <row r="57">
      <c r="I57" s="5">
        <f>IF(COUNT(C57:H57)=0,"",IF(COUNT(C57:H57)&lt;6,"incomplete",IF(SUM(C57:H57)=6,1,0)))</f>
        <v/>
      </c>
    </row>
    <row r="58">
      <c r="I58" s="5">
        <f>IF(COUNT(C58:H58)=0,"",IF(COUNT(C58:H58)&lt;6,"incomplete",IF(SUM(C58:H58)=6,1,0)))</f>
        <v/>
      </c>
    </row>
    <row r="59">
      <c r="I59" s="5">
        <f>IF(COUNT(C59:H59)=0,"",IF(COUNT(C59:H59)&lt;6,"incomplete",IF(SUM(C59:H59)=6,1,0)))</f>
        <v/>
      </c>
    </row>
    <row r="60">
      <c r="I60" s="5">
        <f>IF(COUNT(C60:H60)=0,"",IF(COUNT(C60:H60)&lt;6,"incomplete",IF(SUM(C60:H60)=6,1,0)))</f>
        <v/>
      </c>
    </row>
    <row r="61">
      <c r="I61" s="5">
        <f>IF(COUNT(C61:H61)=0,"",IF(COUNT(C61:H61)&lt;6,"incomplete",IF(SUM(C61:H61)=6,1,0)))</f>
        <v/>
      </c>
    </row>
    <row r="62">
      <c r="I62" s="5">
        <f>IF(COUNT(C62:H62)=0,"",IF(COUNT(C62:H62)&lt;6,"incomplete",IF(SUM(C62:H62)=6,1,0)))</f>
        <v/>
      </c>
    </row>
    <row r="63">
      <c r="I63" s="5">
        <f>IF(COUNT(C63:H63)=0,"",IF(COUNT(C63:H63)&lt;6,"incomplete",IF(SUM(C63:H63)=6,1,0)))</f>
        <v/>
      </c>
    </row>
    <row r="64">
      <c r="I64" s="5">
        <f>IF(COUNT(C64:H64)=0,"",IF(COUNT(C64:H64)&lt;6,"incomplete",IF(SUM(C64:H64)=6,1,0)))</f>
        <v/>
      </c>
    </row>
    <row r="65">
      <c r="I65" s="5">
        <f>IF(COUNT(C65:H65)=0,"",IF(COUNT(C65:H65)&lt;6,"incomplete",IF(SUM(C65:H65)=6,1,0)))</f>
        <v/>
      </c>
    </row>
    <row r="66">
      <c r="I66" s="5">
        <f>IF(COUNT(C66:H66)=0,"",IF(COUNT(C66:H66)&lt;6,"incomplete",IF(SUM(C66:H66)=6,1,0)))</f>
        <v/>
      </c>
    </row>
    <row r="67">
      <c r="I67" s="5">
        <f>IF(COUNT(C67:H67)=0,"",IF(COUNT(C67:H67)&lt;6,"incomplete",IF(SUM(C67:H67)=6,1,0)))</f>
        <v/>
      </c>
    </row>
    <row r="68">
      <c r="I68" s="5">
        <f>IF(COUNT(C68:H68)=0,"",IF(COUNT(C68:H68)&lt;6,"incomplete",IF(SUM(C68:H68)=6,1,0)))</f>
        <v/>
      </c>
    </row>
    <row r="69">
      <c r="I69" s="5">
        <f>IF(COUNT(C69:H69)=0,"",IF(COUNT(C69:H69)&lt;6,"incomplete",IF(SUM(C69:H69)=6,1,0)))</f>
        <v/>
      </c>
    </row>
    <row r="70">
      <c r="I70" s="5">
        <f>IF(COUNT(C70:H70)=0,"",IF(COUNT(C70:H70)&lt;6,"incomplete",IF(SUM(C70:H70)=6,1,0)))</f>
        <v/>
      </c>
    </row>
    <row r="71">
      <c r="I71" s="5">
        <f>IF(COUNT(C71:H71)=0,"",IF(COUNT(C71:H71)&lt;6,"incomplete",IF(SUM(C71:H71)=6,1,0)))</f>
        <v/>
      </c>
    </row>
    <row r="72">
      <c r="I72" s="5">
        <f>IF(COUNT(C72:H72)=0,"",IF(COUNT(C72:H72)&lt;6,"incomplete",IF(SUM(C72:H72)=6,1,0)))</f>
        <v/>
      </c>
    </row>
    <row r="73">
      <c r="I73" s="5">
        <f>IF(COUNT(C73:H73)=0,"",IF(COUNT(C73:H73)&lt;6,"incomplete",IF(SUM(C73:H73)=6,1,0)))</f>
        <v/>
      </c>
    </row>
    <row r="74">
      <c r="I74" s="5">
        <f>IF(COUNT(C74:H74)=0,"",IF(COUNT(C74:H74)&lt;6,"incomplete",IF(SUM(C74:H74)=6,1,0)))</f>
        <v/>
      </c>
    </row>
    <row r="75">
      <c r="I75" s="5">
        <f>IF(COUNT(C75:H75)=0,"",IF(COUNT(C75:H75)&lt;6,"incomplete",IF(SUM(C75:H75)=6,1,0)))</f>
        <v/>
      </c>
    </row>
    <row r="76">
      <c r="I76" s="5">
        <f>IF(COUNT(C76:H76)=0,"",IF(COUNT(C76:H76)&lt;6,"incomplete",IF(SUM(C76:H76)=6,1,0)))</f>
        <v/>
      </c>
    </row>
    <row r="77">
      <c r="I77" s="5">
        <f>IF(COUNT(C77:H77)=0,"",IF(COUNT(C77:H77)&lt;6,"incomplete",IF(SUM(C77:H77)=6,1,0)))</f>
        <v/>
      </c>
    </row>
    <row r="78">
      <c r="I78" s="5">
        <f>IF(COUNT(C78:H78)=0,"",IF(COUNT(C78:H78)&lt;6,"incomplete",IF(SUM(C78:H78)=6,1,0)))</f>
        <v/>
      </c>
    </row>
    <row r="79">
      <c r="I79" s="5">
        <f>IF(COUNT(C79:H79)=0,"",IF(COUNT(C79:H79)&lt;6,"incomplete",IF(SUM(C79:H79)=6,1,0)))</f>
        <v/>
      </c>
    </row>
    <row r="80">
      <c r="I80" s="5">
        <f>IF(COUNT(C80:H80)=0,"",IF(COUNT(C80:H80)&lt;6,"incomplete",IF(SUM(C80:H80)=6,1,0)))</f>
        <v/>
      </c>
    </row>
    <row r="81">
      <c r="I81" s="5">
        <f>IF(COUNT(C81:H81)=0,"",IF(COUNT(C81:H81)&lt;6,"incomplete",IF(SUM(C81:H81)=6,1,0)))</f>
        <v/>
      </c>
    </row>
    <row r="82">
      <c r="I82" s="5">
        <f>IF(COUNT(C82:H82)=0,"",IF(COUNT(C82:H82)&lt;6,"incomplete",IF(SUM(C82:H82)=6,1,0)))</f>
        <v/>
      </c>
    </row>
    <row r="83">
      <c r="I83" s="5">
        <f>IF(COUNT(C83:H83)=0,"",IF(COUNT(C83:H83)&lt;6,"incomplete",IF(SUM(C83:H83)=6,1,0)))</f>
        <v/>
      </c>
    </row>
    <row r="84">
      <c r="I84" s="5">
        <f>IF(COUNT(C84:H84)=0,"",IF(COUNT(C84:H84)&lt;6,"incomplete",IF(SUM(C84:H84)=6,1,0)))</f>
        <v/>
      </c>
    </row>
    <row r="85">
      <c r="I85" s="5">
        <f>IF(COUNT(C85:H85)=0,"",IF(COUNT(C85:H85)&lt;6,"incomplete",IF(SUM(C85:H85)=6,1,0)))</f>
        <v/>
      </c>
    </row>
    <row r="86">
      <c r="I86" s="5">
        <f>IF(COUNT(C86:H86)=0,"",IF(COUNT(C86:H86)&lt;6,"incomplete",IF(SUM(C86:H86)=6,1,0)))</f>
        <v/>
      </c>
    </row>
    <row r="87">
      <c r="I87" s="5">
        <f>IF(COUNT(C87:H87)=0,"",IF(COUNT(C87:H87)&lt;6,"incomplete",IF(SUM(C87:H87)=6,1,0)))</f>
        <v/>
      </c>
    </row>
    <row r="88">
      <c r="I88" s="5">
        <f>IF(COUNT(C88:H88)=0,"",IF(COUNT(C88:H88)&lt;6,"incomplete",IF(SUM(C88:H88)=6,1,0)))</f>
        <v/>
      </c>
    </row>
    <row r="89">
      <c r="I89" s="5">
        <f>IF(COUNT(C89:H89)=0,"",IF(COUNT(C89:H89)&lt;6,"incomplete",IF(SUM(C89:H89)=6,1,0)))</f>
        <v/>
      </c>
    </row>
    <row r="90">
      <c r="I90" s="5">
        <f>IF(COUNT(C90:H90)=0,"",IF(COUNT(C90:H90)&lt;6,"incomplete",IF(SUM(C90:H90)=6,1,0)))</f>
        <v/>
      </c>
    </row>
    <row r="91">
      <c r="I91" s="5">
        <f>IF(COUNT(C91:H91)=0,"",IF(COUNT(C91:H91)&lt;6,"incomplete",IF(SUM(C91:H91)=6,1,0)))</f>
        <v/>
      </c>
    </row>
    <row r="92">
      <c r="I92" s="5">
        <f>IF(COUNT(C92:H92)=0,"",IF(COUNT(C92:H92)&lt;6,"incomplete",IF(SUM(C92:H92)=6,1,0)))</f>
        <v/>
      </c>
    </row>
    <row r="93">
      <c r="I93" s="5">
        <f>IF(COUNT(C93:H93)=0,"",IF(COUNT(C93:H93)&lt;6,"incomplete",IF(SUM(C93:H93)=6,1,0)))</f>
        <v/>
      </c>
    </row>
    <row r="94">
      <c r="I94" s="5">
        <f>IF(COUNT(C94:H94)=0,"",IF(COUNT(C94:H94)&lt;6,"incomplete",IF(SUM(C94:H94)=6,1,0)))</f>
        <v/>
      </c>
    </row>
    <row r="95">
      <c r="I95" s="5">
        <f>IF(COUNT(C95:H95)=0,"",IF(COUNT(C95:H95)&lt;6,"incomplete",IF(SUM(C95:H95)=6,1,0)))</f>
        <v/>
      </c>
    </row>
    <row r="96">
      <c r="I96" s="5">
        <f>IF(COUNT(C96:H96)=0,"",IF(COUNT(C96:H96)&lt;6,"incomplete",IF(SUM(C96:H96)=6,1,0)))</f>
        <v/>
      </c>
    </row>
    <row r="97">
      <c r="I97" s="5">
        <f>IF(COUNT(C97:H97)=0,"",IF(COUNT(C97:H97)&lt;6,"incomplete",IF(SUM(C97:H97)=6,1,0)))</f>
        <v/>
      </c>
    </row>
    <row r="98">
      <c r="I98" s="5">
        <f>IF(COUNT(C98:H98)=0,"",IF(COUNT(C98:H98)&lt;6,"incomplete",IF(SUM(C98:H98)=6,1,0)))</f>
        <v/>
      </c>
    </row>
    <row r="99">
      <c r="I99" s="5">
        <f>IF(COUNT(C99:H99)=0,"",IF(COUNT(C99:H99)&lt;6,"incomplete",IF(SUM(C99:H99)=6,1,0)))</f>
        <v/>
      </c>
    </row>
    <row r="100">
      <c r="I100" s="5">
        <f>IF(COUNT(C100:H100)=0,"",IF(COUNT(C100:H100)&lt;6,"incomplete",IF(SUM(C100:H100)=6,1,0)))</f>
        <v/>
      </c>
    </row>
    <row r="101">
      <c r="I101" s="5">
        <f>IF(COUNT(C101:H101)=0,"",IF(COUNT(C101:H101)&lt;6,"incomplete",IF(SUM(C101:H101)=6,1,0)))</f>
        <v/>
      </c>
    </row>
    <row r="102">
      <c r="I102" s="5">
        <f>IF(COUNT(C102:H102)=0,"",IF(COUNT(C102:H102)&lt;6,"incomplete",IF(SUM(C102:H102)=6,1,0)))</f>
        <v/>
      </c>
    </row>
    <row r="103">
      <c r="I103" s="5">
        <f>IF(COUNT(C103:H103)=0,"",IF(COUNT(C103:H103)&lt;6,"incomplete",IF(SUM(C103:H103)=6,1,0)))</f>
        <v/>
      </c>
    </row>
    <row r="104">
      <c r="I104" s="5">
        <f>IF(COUNT(C104:H104)=0,"",IF(COUNT(C104:H104)&lt;6,"incomplete",IF(SUM(C104:H104)=6,1,0)))</f>
        <v/>
      </c>
    </row>
    <row r="105">
      <c r="I105" s="5">
        <f>IF(COUNT(C105:H105)=0,"",IF(COUNT(C105:H105)&lt;6,"incomplete",IF(SUM(C105:H105)=6,1,0)))</f>
        <v/>
      </c>
    </row>
    <row r="106">
      <c r="I106" s="5">
        <f>IF(COUNT(C106:H106)=0,"",IF(COUNT(C106:H106)&lt;6,"incomplete",IF(SUM(C106:H106)=6,1,0)))</f>
        <v/>
      </c>
    </row>
    <row r="107">
      <c r="I107" s="5">
        <f>IF(COUNT(C107:H107)=0,"",IF(COUNT(C107:H107)&lt;6,"incomplete",IF(SUM(C107:H107)=6,1,0)))</f>
        <v/>
      </c>
    </row>
    <row r="108">
      <c r="I108" s="5">
        <f>IF(COUNT(C108:H108)=0,"",IF(COUNT(C108:H108)&lt;6,"incomplete",IF(SUM(C108:H108)=6,1,0)))</f>
        <v/>
      </c>
    </row>
    <row r="109">
      <c r="I109" s="5">
        <f>IF(COUNT(C109:H109)=0,"",IF(COUNT(C109:H109)&lt;6,"incomplete",IF(SUM(C109:H109)=6,1,0)))</f>
        <v/>
      </c>
    </row>
    <row r="110">
      <c r="I110" s="5">
        <f>IF(COUNT(C110:H110)=0,"",IF(COUNT(C110:H110)&lt;6,"incomplete",IF(SUM(C110:H110)=6,1,0)))</f>
        <v/>
      </c>
    </row>
    <row r="111">
      <c r="I111" s="5">
        <f>IF(COUNT(C111:H111)=0,"",IF(COUNT(C111:H111)&lt;6,"incomplete",IF(SUM(C111:H111)=6,1,0)))</f>
        <v/>
      </c>
    </row>
  </sheetData>
  <conditionalFormatting sqref="I2:I110">
    <cfRule type="cellIs" priority="1" operator="equal" dxfId="0">
      <formula>0</formula>
    </cfRule>
    <cfRule type="cellIs" priority="2" operator="equal" dxfId="1">
      <formula>"incomplete"</formula>
    </cfRule>
  </conditionalFormatting>
  <dataValidations count="2">
    <dataValidation sqref="B2:B110" showDropDown="0" showInputMessage="0" showErrorMessage="1" allowBlank="1" errorTitle="Bucket" error="Pick one of the four buckets from the list." type="list">
      <formula1>"Common path,Known failure,Edge case,Adversarial"</formula1>
    </dataValidation>
    <dataValidation sqref="C2:H110" showDropDown="0" showInputMessage="0" showErrorMessage="1" allowBlank="1" errorTitle="Score" error="Enter 1 (pass) or 0 (fail).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0" customWidth="1" min="4" max="4"/>
    <col width="12" customWidth="1" min="5" max="5"/>
  </cols>
  <sheetData>
    <row r="1">
      <c r="A1" s="6" t="inlineStr">
        <is>
          <t>Eval harness: pass rate by bucket</t>
        </is>
      </c>
    </row>
    <row r="3">
      <c r="A3" s="7" t="inlineStr">
        <is>
          <t>Bucket</t>
        </is>
      </c>
      <c r="B3" s="7" t="inlineStr">
        <is>
          <t>Target cases</t>
        </is>
      </c>
      <c r="C3" s="7" t="inlineStr">
        <is>
          <t>Scored cases</t>
        </is>
      </c>
      <c r="D3" s="7" t="inlineStr">
        <is>
          <t>Passed</t>
        </is>
      </c>
      <c r="E3" s="7" t="inlineStr">
        <is>
          <t>Pass rate</t>
        </is>
      </c>
    </row>
    <row r="4">
      <c r="A4" t="inlineStr">
        <is>
          <t>Common path</t>
        </is>
      </c>
      <c r="B4" t="n">
        <v>20</v>
      </c>
      <c r="C4">
        <f>COUNTIFS(Scores!$B$2:$B$111,A4,Scores!$I$2:$I$111,"&gt;=0")</f>
        <v/>
      </c>
      <c r="D4">
        <f>COUNTIFS(Scores!$B$2:$B$111,A4,Scores!$I$2:$I$111,1)</f>
        <v/>
      </c>
      <c r="E4" s="8">
        <f>IF(C4=0,"",AVERAGEIF(Scores!$B$2:$B$111,A4,Scores!$I$2:$I$111))</f>
        <v/>
      </c>
    </row>
    <row r="5">
      <c r="A5" t="inlineStr">
        <is>
          <t>Known failure</t>
        </is>
      </c>
      <c r="B5" t="n">
        <v>15</v>
      </c>
      <c r="C5">
        <f>COUNTIFS(Scores!$B$2:$B$111,A5,Scores!$I$2:$I$111,"&gt;=0")</f>
        <v/>
      </c>
      <c r="D5">
        <f>COUNTIFS(Scores!$B$2:$B$111,A5,Scores!$I$2:$I$111,1)</f>
        <v/>
      </c>
      <c r="E5" s="8">
        <f>IF(C5=0,"",AVERAGEIF(Scores!$B$2:$B$111,A5,Scores!$I$2:$I$111))</f>
        <v/>
      </c>
    </row>
    <row r="6">
      <c r="A6" t="inlineStr">
        <is>
          <t>Edge case</t>
        </is>
      </c>
      <c r="B6" t="n">
        <v>10</v>
      </c>
      <c r="C6">
        <f>COUNTIFS(Scores!$B$2:$B$111,A6,Scores!$I$2:$I$111,"&gt;=0")</f>
        <v/>
      </c>
      <c r="D6">
        <f>COUNTIFS(Scores!$B$2:$B$111,A6,Scores!$I$2:$I$111,1)</f>
        <v/>
      </c>
      <c r="E6" s="8">
        <f>IF(C6=0,"",AVERAGEIF(Scores!$B$2:$B$111,A6,Scores!$I$2:$I$111))</f>
        <v/>
      </c>
    </row>
    <row r="7">
      <c r="A7" t="inlineStr">
        <is>
          <t>Adversarial</t>
        </is>
      </c>
      <c r="B7" t="n">
        <v>5</v>
      </c>
      <c r="C7">
        <f>COUNTIFS(Scores!$B$2:$B$111,A7,Scores!$I$2:$I$111,"&gt;=0")</f>
        <v/>
      </c>
      <c r="D7">
        <f>COUNTIFS(Scores!$B$2:$B$111,A7,Scores!$I$2:$I$111,1)</f>
        <v/>
      </c>
      <c r="E7" s="8">
        <f>IF(C7=0,"",AVERAGEIF(Scores!$B$2:$B$111,A7,Scores!$I$2:$I$111))</f>
        <v/>
      </c>
    </row>
    <row r="8">
      <c r="A8" s="9" t="inlineStr">
        <is>
          <t>All cases</t>
        </is>
      </c>
      <c r="B8">
        <f>SUM(B4:B7)</f>
        <v/>
      </c>
      <c r="C8">
        <f>SUM(C4:C7)</f>
        <v/>
      </c>
      <c r="D8">
        <f>SUM(D4:D7)</f>
        <v/>
      </c>
      <c r="E8" s="8">
        <f>IF(C8=0,"",D8/C8)</f>
        <v/>
      </c>
    </row>
    <row r="10">
      <c r="A10" s="9" t="inlineStr">
        <is>
          <t>Checks (all three should read OK)</t>
        </is>
      </c>
    </row>
    <row r="11">
      <c r="A11" t="inlineStr">
        <is>
          <t>Every scored row has a valid bucket</t>
        </is>
      </c>
      <c r="B11">
        <f>IF(SUMPRODUCT(--ISNUMBER(Scores!$I$2:$I$111))=C8,"OK","CHECK: a scored row has a missing or misspelled bucket")</f>
        <v/>
      </c>
    </row>
    <row r="12">
      <c r="A12" t="inlineStr">
        <is>
          <t>No half-scored rows</t>
        </is>
      </c>
      <c r="B12">
        <f>IF(COUNTIF(Scores!$I$2:$I$111,"incomplete")=0,"OK","CHECK: "&amp;COUNTIF(Scores!$I$2:$I$111,"incomplete")&amp;" row(s) missing a score")</f>
        <v/>
      </c>
    </row>
    <row r="13">
      <c r="A13" t="inlineStr">
        <is>
          <t>Scored cases match your plan</t>
        </is>
      </c>
      <c r="B13">
        <f>IF(C8=B8,"OK","Scored "&amp;C8&amp;" of "&amp;B8&amp;" planned")</f>
        <v/>
      </c>
    </row>
    <row r="15">
      <c r="A15" s="10" t="inlineStr">
        <is>
          <t>Read the pass rate by bucket, never only the all-cases line. A flat aggregate can hide one bucket collapsing.</t>
        </is>
      </c>
    </row>
    <row r="16"/>
  </sheetData>
  <mergeCells count="1">
    <mergeCell ref="A15:E16"/>
  </mergeCells>
  <conditionalFormatting sqref="B11:B13">
    <cfRule type="expression" priority="1" dxfId="0">
      <formula>LEFT(B11,5)="CHECK"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2026-10-29T17:18:42Z</dcterms:created>
  <dcterms:modified xmlns:dcterms="http://purl.org/dc/terms/" xmlns:xsi="http://www.w3.org/2001/XMLSchema-instance" xsi:type="dcterms:W3CDTF">2026-10-29T17:18:42Z</dcterms:modified>
</cp:coreProperties>
</file>